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slicers/slicer1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9.xml" ContentType="application/vnd.openxmlformats-officedocument.spreadsheetml.tab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nerd.DESKTOP-KJM7GT4\Documents\"/>
    </mc:Choice>
  </mc:AlternateContent>
  <xr:revisionPtr revIDLastSave="0" documentId="8_{D5FFB783-B410-4582-A689-6A31C6046372}" xr6:coauthVersionLast="47" xr6:coauthVersionMax="47" xr10:uidLastSave="{00000000-0000-0000-0000-000000000000}"/>
  <bookViews>
    <workbookView xWindow="-120" yWindow="-120" windowWidth="20730" windowHeight="11160" firstSheet="6" activeTab="8" xr2:uid="{6D1DACA6-63EF-4981-9D93-AC39736F51EC}"/>
  </bookViews>
  <sheets>
    <sheet name="Centro Contacto" sheetId="1" r:id="rId1"/>
    <sheet name="Dashboard_CentroContacto" sheetId="9" r:id="rId2"/>
    <sheet name="Metricas_Centrocontacto" sheetId="4" r:id="rId3"/>
    <sheet name="Sucursales" sheetId="2" r:id="rId4"/>
    <sheet name="Resumen_Sucursales" sheetId="10" r:id="rId5"/>
    <sheet name="Top10_Sucursales" sheetId="11" r:id="rId6"/>
    <sheet name="Facturaciones" sheetId="3" r:id="rId7"/>
    <sheet name="Top_Facturación" sheetId="12" r:id="rId8"/>
    <sheet name="Facturacion Tbl Dinaminca" sheetId="15" r:id="rId9"/>
  </sheets>
  <definedNames>
    <definedName name="SegmentaciónDeDatos_Sucursal">#N/A</definedName>
    <definedName name="SegmentaciónDeDatos_Total_AT">#N/A</definedName>
  </definedNames>
  <calcPr calcId="191029"/>
  <pivotCaches>
    <pivotCache cacheId="13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0" l="1"/>
  <c r="C31" i="10"/>
  <c r="C38" i="10"/>
  <c r="C14" i="10"/>
  <c r="C20" i="10"/>
  <c r="C10" i="10"/>
  <c r="C65" i="10"/>
  <c r="C45" i="10"/>
  <c r="C12" i="10"/>
  <c r="C5" i="10"/>
  <c r="C51" i="10"/>
  <c r="C44" i="10"/>
  <c r="C36" i="10"/>
  <c r="C17" i="10"/>
  <c r="C49" i="10"/>
  <c r="C28" i="10"/>
  <c r="C33" i="10"/>
  <c r="C30" i="10"/>
  <c r="C6" i="10"/>
  <c r="C58" i="10"/>
  <c r="C55" i="10"/>
  <c r="C59" i="10"/>
  <c r="C34" i="10"/>
  <c r="C40" i="10"/>
  <c r="C50" i="10"/>
  <c r="C24" i="10"/>
  <c r="C60" i="10"/>
  <c r="C41" i="10"/>
  <c r="C35" i="10"/>
  <c r="C29" i="10"/>
  <c r="C7" i="10"/>
  <c r="C22" i="10"/>
  <c r="C26" i="10"/>
  <c r="C46" i="10"/>
  <c r="C53" i="10"/>
  <c r="C13" i="10"/>
  <c r="C8" i="10"/>
  <c r="C18" i="10"/>
  <c r="C21" i="10"/>
  <c r="C9" i="10"/>
  <c r="C23" i="10"/>
  <c r="C43" i="10"/>
  <c r="C42" i="10"/>
  <c r="C37" i="10"/>
  <c r="C27" i="10"/>
  <c r="C52" i="10"/>
  <c r="C54" i="10"/>
  <c r="C3" i="10"/>
  <c r="C39" i="10"/>
  <c r="C56" i="10"/>
  <c r="C4" i="10"/>
  <c r="C15" i="10"/>
  <c r="C48" i="10"/>
  <c r="C25" i="10"/>
  <c r="C47" i="10"/>
  <c r="C19" i="10"/>
  <c r="C2" i="10"/>
  <c r="C16" i="10"/>
  <c r="C63" i="10"/>
  <c r="C11" i="10"/>
  <c r="C61" i="10"/>
  <c r="C64" i="10"/>
  <c r="C62" i="10"/>
  <c r="C57" i="10"/>
  <c r="B48" i="10"/>
  <c r="B49" i="10"/>
  <c r="B50" i="10"/>
  <c r="B51" i="10"/>
  <c r="B52" i="10"/>
  <c r="B55" i="10"/>
  <c r="B56" i="10"/>
  <c r="B57" i="10"/>
  <c r="B58" i="10"/>
  <c r="B59" i="10"/>
  <c r="B60" i="10"/>
  <c r="B61" i="10"/>
  <c r="B62" i="10"/>
  <c r="B64" i="10"/>
  <c r="B65" i="10"/>
  <c r="B63" i="10"/>
  <c r="F16" i="10"/>
  <c r="F19" i="10"/>
  <c r="F22" i="10"/>
  <c r="F25" i="10"/>
  <c r="F29" i="10"/>
  <c r="F31" i="10"/>
  <c r="F47" i="10"/>
  <c r="F53" i="10"/>
  <c r="F54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7" i="10"/>
  <c r="F18" i="10"/>
  <c r="F20" i="10"/>
  <c r="F21" i="10"/>
  <c r="F23" i="10"/>
  <c r="F24" i="10"/>
  <c r="F26" i="10"/>
  <c r="F27" i="10"/>
  <c r="F28" i="10"/>
  <c r="F30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8" i="10"/>
  <c r="F49" i="10"/>
  <c r="F50" i="10"/>
  <c r="F51" i="10"/>
  <c r="F52" i="10"/>
  <c r="F55" i="10"/>
  <c r="F56" i="10"/>
  <c r="F57" i="10"/>
  <c r="F58" i="10"/>
  <c r="F59" i="10"/>
  <c r="F60" i="10"/>
  <c r="F61" i="10"/>
  <c r="F62" i="10"/>
  <c r="F64" i="10"/>
  <c r="F65" i="10"/>
  <c r="F63" i="10"/>
  <c r="F2" i="10"/>
  <c r="E16" i="10"/>
  <c r="E19" i="10"/>
  <c r="E22" i="10"/>
  <c r="E25" i="10"/>
  <c r="E29" i="10"/>
  <c r="E31" i="10"/>
  <c r="E47" i="10"/>
  <c r="E53" i="10"/>
  <c r="E54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7" i="10"/>
  <c r="E18" i="10"/>
  <c r="E20" i="10"/>
  <c r="E21" i="10"/>
  <c r="E23" i="10"/>
  <c r="E24" i="10"/>
  <c r="E26" i="10"/>
  <c r="E27" i="10"/>
  <c r="E28" i="10"/>
  <c r="E30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8" i="10"/>
  <c r="E49" i="10"/>
  <c r="E50" i="10"/>
  <c r="E51" i="10"/>
  <c r="E52" i="10"/>
  <c r="E55" i="10"/>
  <c r="E56" i="10"/>
  <c r="E57" i="10"/>
  <c r="E58" i="10"/>
  <c r="E59" i="10"/>
  <c r="E60" i="10"/>
  <c r="E61" i="10"/>
  <c r="E62" i="10"/>
  <c r="E64" i="10"/>
  <c r="E65" i="10"/>
  <c r="E63" i="10"/>
  <c r="E2" i="10"/>
  <c r="D16" i="10"/>
  <c r="D19" i="10"/>
  <c r="D22" i="10"/>
  <c r="D25" i="10"/>
  <c r="D29" i="10"/>
  <c r="D31" i="10"/>
  <c r="D47" i="10"/>
  <c r="D53" i="10"/>
  <c r="D54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7" i="10"/>
  <c r="D18" i="10"/>
  <c r="D20" i="10"/>
  <c r="D21" i="10"/>
  <c r="D23" i="10"/>
  <c r="D24" i="10"/>
  <c r="D26" i="10"/>
  <c r="D27" i="10"/>
  <c r="D28" i="10"/>
  <c r="D30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8" i="10"/>
  <c r="D49" i="10"/>
  <c r="D50" i="10"/>
  <c r="D51" i="10"/>
  <c r="D52" i="10"/>
  <c r="D55" i="10"/>
  <c r="D56" i="10"/>
  <c r="D57" i="10"/>
  <c r="D58" i="10"/>
  <c r="D59" i="10"/>
  <c r="D60" i="10"/>
  <c r="D61" i="10"/>
  <c r="D62" i="10"/>
  <c r="D64" i="10"/>
  <c r="D65" i="10"/>
  <c r="D63" i="10"/>
  <c r="D2" i="10"/>
  <c r="B16" i="10"/>
  <c r="B19" i="10"/>
  <c r="B22" i="10"/>
  <c r="B25" i="10"/>
  <c r="B29" i="10"/>
  <c r="B31" i="10"/>
  <c r="B47" i="10"/>
  <c r="B53" i="10"/>
  <c r="B54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7" i="10"/>
  <c r="B18" i="10"/>
  <c r="B20" i="10"/>
  <c r="B21" i="10"/>
  <c r="B23" i="10"/>
  <c r="B24" i="10"/>
  <c r="B26" i="10"/>
  <c r="B27" i="10"/>
  <c r="B28" i="10"/>
  <c r="B30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2" i="10"/>
  <c r="B46" i="10"/>
  <c r="C21" i="9"/>
  <c r="C22" i="9"/>
  <c r="C20" i="9"/>
  <c r="B22" i="9"/>
  <c r="B21" i="9"/>
  <c r="B20" i="9"/>
  <c r="B13" i="9"/>
  <c r="B12" i="9"/>
  <c r="B11" i="9"/>
  <c r="B4" i="9"/>
  <c r="B3" i="9"/>
  <c r="B2" i="9"/>
  <c r="A2" i="4"/>
  <c r="B2" i="4"/>
  <c r="G2" i="4"/>
  <c r="F2" i="4"/>
  <c r="E2" i="4"/>
  <c r="D2" i="4"/>
  <c r="C2" i="4" l="1"/>
</calcChain>
</file>

<file path=xl/sharedStrings.xml><?xml version="1.0" encoding="utf-8"?>
<sst xmlns="http://schemas.openxmlformats.org/spreadsheetml/2006/main" count="652" uniqueCount="241">
  <si>
    <t>Dia</t>
  </si>
  <si>
    <t>Solicitud_Aprobada</t>
  </si>
  <si>
    <t>Solicitud_Declinada</t>
  </si>
  <si>
    <t>Tiempo_Espera_Promedio</t>
  </si>
  <si>
    <t>Tiempo_Espera_Meta</t>
  </si>
  <si>
    <t>Total_General</t>
  </si>
  <si>
    <t>APP</t>
  </si>
  <si>
    <t>WB</t>
  </si>
  <si>
    <t>Tiempo_Espera</t>
  </si>
  <si>
    <t>Tiempo_Sesion</t>
  </si>
  <si>
    <t>Chats_BOT</t>
  </si>
  <si>
    <t>Chats_Recibidos</t>
  </si>
  <si>
    <t>CALL CENTER</t>
  </si>
  <si>
    <t>Abandono_ Meta</t>
  </si>
  <si>
    <t>Nivel_Servicio</t>
  </si>
  <si>
    <t>Nivel_Servicio_Meta</t>
  </si>
  <si>
    <t>Llamadas_Recibidas</t>
  </si>
  <si>
    <t>Llamadas_Contestadas</t>
  </si>
  <si>
    <t xml:space="preserve">Dia </t>
  </si>
  <si>
    <t>Abandono</t>
  </si>
  <si>
    <t>Servicio - Sucursal - General Marzo</t>
  </si>
  <si>
    <t>Servicio - Sucursal - General Abril</t>
  </si>
  <si>
    <t>Servicio - Sucursal - General Mayo</t>
  </si>
  <si>
    <t>Sucursal</t>
  </si>
  <si>
    <t>TE</t>
  </si>
  <si>
    <t>TA</t>
  </si>
  <si>
    <t>TR</t>
  </si>
  <si>
    <t>AILA</t>
  </si>
  <si>
    <t>CLISID</t>
  </si>
  <si>
    <t>Cresa SD</t>
  </si>
  <si>
    <t>Galeria de Villa Mella</t>
  </si>
  <si>
    <t>Jarabacoa</t>
  </si>
  <si>
    <t>La Sirena Luperon</t>
  </si>
  <si>
    <t>Laboratorio Principal</t>
  </si>
  <si>
    <t>PreNatal Care</t>
  </si>
  <si>
    <t>San Cristobal La Sirena</t>
  </si>
  <si>
    <t>San Francisco Macoris</t>
  </si>
  <si>
    <t>Sucursal Arroyo Hondo</t>
  </si>
  <si>
    <t>Sucursal Arroyo Hondo 2</t>
  </si>
  <si>
    <t>Sucursal Ave. Independencia</t>
  </si>
  <si>
    <t>Sucursal Azua</t>
  </si>
  <si>
    <t>Sucursal Bani</t>
  </si>
  <si>
    <t>Sucursal Bavaro</t>
  </si>
  <si>
    <t>Sucursal Bella Vista</t>
  </si>
  <si>
    <t>Sucursal Boca Chica</t>
  </si>
  <si>
    <t>Sucursal Carol Delgado</t>
  </si>
  <si>
    <t>Sucursal Carrefour</t>
  </si>
  <si>
    <t>Sucursal Carretera de Mendoza</t>
  </si>
  <si>
    <t>Sucursal Carretera Mella</t>
  </si>
  <si>
    <t>Sucursal Churchill</t>
  </si>
  <si>
    <t>Sucursal Colina Centro</t>
  </si>
  <si>
    <t>Sucursal CRESA Santiago</t>
  </si>
  <si>
    <t>Sucursal Cruz Jiminian</t>
  </si>
  <si>
    <t>Sucursal Esperilla</t>
  </si>
  <si>
    <t>Sucursal Herrera</t>
  </si>
  <si>
    <t>Sucursal Higuey</t>
  </si>
  <si>
    <t>Sucursal La Monumental</t>
  </si>
  <si>
    <t>Sucursal La Romana</t>
  </si>
  <si>
    <t>Sucursal La Romana 2</t>
  </si>
  <si>
    <t>Sucursal La Vega</t>
  </si>
  <si>
    <t>Sucursal Los Alcarrizos</t>
  </si>
  <si>
    <t>Sucursal Los Frailes</t>
  </si>
  <si>
    <t>Sucursal Los Prados</t>
  </si>
  <si>
    <t>Sucursal Los Proceres</t>
  </si>
  <si>
    <t>Sucursal Maria Auxiliadora</t>
  </si>
  <si>
    <t>Sucursal Medico Express</t>
  </si>
  <si>
    <t>Sucursal Megacentro</t>
  </si>
  <si>
    <t>Sucursal Metro</t>
  </si>
  <si>
    <t>Sucursal Mirador Norte</t>
  </si>
  <si>
    <t>Sucursal Moca</t>
  </si>
  <si>
    <t>Sucursal Naco</t>
  </si>
  <si>
    <t>Sucursal Nagua</t>
  </si>
  <si>
    <t>Sucursal Occidental Mall</t>
  </si>
  <si>
    <t>Sucursal Ozama</t>
  </si>
  <si>
    <t>Sucursal Piantini</t>
  </si>
  <si>
    <t>Sucursal Republica de Colombia</t>
  </si>
  <si>
    <t>Sucursal Romana Multiplaza</t>
  </si>
  <si>
    <t>Sucursal Sambil</t>
  </si>
  <si>
    <t>Sucursal San Cristobal</t>
  </si>
  <si>
    <t>Sucursal San Cristobal 2</t>
  </si>
  <si>
    <t>Sucursal San Isido Labrador</t>
  </si>
  <si>
    <t>Sucursal San Pedro de Macoris</t>
  </si>
  <si>
    <t>Sucursal San Pedro De Macoris 2</t>
  </si>
  <si>
    <t>Sucursal San Pedro El Prado II</t>
  </si>
  <si>
    <t>Sucursal San Vicente De Paul</t>
  </si>
  <si>
    <t>Sucursal Santiago 2</t>
  </si>
  <si>
    <t>Sucursal SUPERKIDS</t>
  </si>
  <si>
    <t>Sucursal Superkids Piantini</t>
  </si>
  <si>
    <t>Sucursal UNPHU</t>
  </si>
  <si>
    <t>Sucursal Villa Mella</t>
  </si>
  <si>
    <t>TM Cresa Herrera</t>
  </si>
  <si>
    <t>General</t>
  </si>
  <si>
    <t>Total Solicitudes Aprobadas</t>
  </si>
  <si>
    <t>Total Solicitudes Rechazadas</t>
  </si>
  <si>
    <t>Tasa Aprobación (%)</t>
  </si>
  <si>
    <t>Tiempo de Espera Promedio (App)</t>
  </si>
  <si>
    <t>Tiempo de Espera Promedio (Web)</t>
  </si>
  <si>
    <t>Abandono Promedio (Call Center)</t>
  </si>
  <si>
    <t>Nivel de Servicio Promedio (Call Center)</t>
  </si>
  <si>
    <t>No. de Facturas</t>
  </si>
  <si>
    <t>No. Requisiciones TM</t>
  </si>
  <si>
    <t>Facturacion Ejecutada</t>
  </si>
  <si>
    <t>Factura Promedio</t>
  </si>
  <si>
    <t>% Crec. Anual Fact.</t>
  </si>
  <si>
    <t>Pacientes Ejec.</t>
  </si>
  <si>
    <t>Gazcue (Laboratorio Principal)</t>
  </si>
  <si>
    <t>Carrefour</t>
  </si>
  <si>
    <t>San Pedro de Macoris II</t>
  </si>
  <si>
    <t>Ozama</t>
  </si>
  <si>
    <t>Megacentro</t>
  </si>
  <si>
    <t>Teléfono/WA Business</t>
  </si>
  <si>
    <t>Independencia</t>
  </si>
  <si>
    <t>Los Alcarrizos</t>
  </si>
  <si>
    <t>Carretera Mella</t>
  </si>
  <si>
    <t>Villa Mella</t>
  </si>
  <si>
    <t>Amadita APP</t>
  </si>
  <si>
    <t>Piantini</t>
  </si>
  <si>
    <t>Los Prados</t>
  </si>
  <si>
    <t>Colina Centro</t>
  </si>
  <si>
    <t>Cruz Jiminian</t>
  </si>
  <si>
    <t>San Isidro Plaza Cuadra</t>
  </si>
  <si>
    <t>Manoguayabo</t>
  </si>
  <si>
    <t>San Cristobal</t>
  </si>
  <si>
    <t>Boca Chica</t>
  </si>
  <si>
    <t>Mirador Norte</t>
  </si>
  <si>
    <t>La Vega</t>
  </si>
  <si>
    <t>La Romana Multiplaza</t>
  </si>
  <si>
    <t>María Auxiliadora</t>
  </si>
  <si>
    <t>La Romana II</t>
  </si>
  <si>
    <t>Los Frailes</t>
  </si>
  <si>
    <t>Azua</t>
  </si>
  <si>
    <t>San Vicente</t>
  </si>
  <si>
    <t>Santiago Restauración</t>
  </si>
  <si>
    <t>Moca</t>
  </si>
  <si>
    <t>San Pedro Plaza El Prado II</t>
  </si>
  <si>
    <t>Los Proceres</t>
  </si>
  <si>
    <t>Sirena Luperón</t>
  </si>
  <si>
    <t>San Isidro Labrador</t>
  </si>
  <si>
    <t>Higuey Multiplaza</t>
  </si>
  <si>
    <t>Bella Vista</t>
  </si>
  <si>
    <t>Naco</t>
  </si>
  <si>
    <t>Santiago Plaza Texas</t>
  </si>
  <si>
    <t>Sambil</t>
  </si>
  <si>
    <t>Baní</t>
  </si>
  <si>
    <t>La Esperilla</t>
  </si>
  <si>
    <t>Galerias Villa Mella</t>
  </si>
  <si>
    <t>Sirena San Cristóbal</t>
  </si>
  <si>
    <t>Monumental</t>
  </si>
  <si>
    <t>San Francisco de Macoris</t>
  </si>
  <si>
    <t>Carretera De Mendoza</t>
  </si>
  <si>
    <t>Galeria 360</t>
  </si>
  <si>
    <t>Nagua</t>
  </si>
  <si>
    <t>La Romana I</t>
  </si>
  <si>
    <t>Bávaro</t>
  </si>
  <si>
    <t>Arroyo Hondo II</t>
  </si>
  <si>
    <t>San Cristobal Madre Vieja</t>
  </si>
  <si>
    <t>MEDEX</t>
  </si>
  <si>
    <t>Herrera</t>
  </si>
  <si>
    <t>Arroyo Hondo</t>
  </si>
  <si>
    <t>La Esperilla (CRESA)</t>
  </si>
  <si>
    <t>San Pedro de Macoris I</t>
  </si>
  <si>
    <t>SKYTEL</t>
  </si>
  <si>
    <t>Gazcue (Prenatal Care)</t>
  </si>
  <si>
    <t>CHURCHILL</t>
  </si>
  <si>
    <t>Republica De Colombia</t>
  </si>
  <si>
    <t>TM DEPI</t>
  </si>
  <si>
    <t>Metro</t>
  </si>
  <si>
    <t>CRESA - Herrera</t>
  </si>
  <si>
    <t>Carol-Delgado</t>
  </si>
  <si>
    <t>CEDOMIR</t>
  </si>
  <si>
    <t>SuperKids COM</t>
  </si>
  <si>
    <t>AMADITA CENTRO DE VACUNACIÓN</t>
  </si>
  <si>
    <t>INCARDIO</t>
  </si>
  <si>
    <t>Servicio a Domicilio</t>
  </si>
  <si>
    <t>Toma de Muestra Sanitas II</t>
  </si>
  <si>
    <t>Laboratorio Simulación</t>
  </si>
  <si>
    <t>Superkids Piantini</t>
  </si>
  <si>
    <t>ENDOCARDIO</t>
  </si>
  <si>
    <t>Metro Pedro Mir</t>
  </si>
  <si>
    <t>Centro Carita Feliz</t>
  </si>
  <si>
    <t>Estacion Metro Concepcion Bona</t>
  </si>
  <si>
    <t xml:space="preserve">Mes </t>
  </si>
  <si>
    <t>Marzo</t>
  </si>
  <si>
    <t>Abril</t>
  </si>
  <si>
    <t>Mayo</t>
  </si>
  <si>
    <t>EM</t>
  </si>
  <si>
    <t>AT</t>
  </si>
  <si>
    <t>CA</t>
  </si>
  <si>
    <t>DE</t>
  </si>
  <si>
    <t>Sucursal B</t>
  </si>
  <si>
    <t>Sucursal C</t>
  </si>
  <si>
    <t>Mes</t>
  </si>
  <si>
    <t>SucursalA</t>
  </si>
  <si>
    <t>Canal</t>
  </si>
  <si>
    <t>Total Interacciones</t>
  </si>
  <si>
    <t>App</t>
  </si>
  <si>
    <t>Web</t>
  </si>
  <si>
    <t>Call Center</t>
  </si>
  <si>
    <t>Tiempo Espera Promedio</t>
  </si>
  <si>
    <t>Valor Real</t>
  </si>
  <si>
    <t>Valor Meta</t>
  </si>
  <si>
    <t>Promedio TE</t>
  </si>
  <si>
    <t>Total EM</t>
  </si>
  <si>
    <t>Total AT</t>
  </si>
  <si>
    <t>Total CA</t>
  </si>
  <si>
    <t>Total DE</t>
  </si>
  <si>
    <t>San Pedro De Macoris 2</t>
  </si>
  <si>
    <t>Ave. Independencia</t>
  </si>
  <si>
    <t>Occidental Mall</t>
  </si>
  <si>
    <t>Maria Auxiliadora</t>
  </si>
  <si>
    <t>Romana Multiplaza</t>
  </si>
  <si>
    <t>La Romana 2</t>
  </si>
  <si>
    <t>San Pedro El Prado II</t>
  </si>
  <si>
    <t>San Isido Labrador</t>
  </si>
  <si>
    <t>San Vicente De Paul</t>
  </si>
  <si>
    <t>Higuey</t>
  </si>
  <si>
    <t>Santiago 2</t>
  </si>
  <si>
    <t>Bani</t>
  </si>
  <si>
    <t>La Monumental</t>
  </si>
  <si>
    <t>Carretera de Mendoza</t>
  </si>
  <si>
    <t>Bavaro</t>
  </si>
  <si>
    <t>CRESA Santiago</t>
  </si>
  <si>
    <t>Esperilla</t>
  </si>
  <si>
    <t>Medico Express</t>
  </si>
  <si>
    <t>La Romana</t>
  </si>
  <si>
    <t>San Cristobal 2</t>
  </si>
  <si>
    <t>San Pedro de Macoris</t>
  </si>
  <si>
    <t>Arroyo Hondo 2</t>
  </si>
  <si>
    <t>Churchill</t>
  </si>
  <si>
    <t>Republica de Colombia</t>
  </si>
  <si>
    <t>Carol Delgado</t>
  </si>
  <si>
    <t>SUPERKIDS</t>
  </si>
  <si>
    <t>UNPHU</t>
  </si>
  <si>
    <t>}+</t>
  </si>
  <si>
    <t>Etiquetas de fila</t>
  </si>
  <si>
    <t>Total general</t>
  </si>
  <si>
    <t>Suma de Facturacion Ejecutada</t>
  </si>
  <si>
    <t>Suma de % Crec. Anual Fact.</t>
  </si>
  <si>
    <t>Suma de Pacientes Ejec.</t>
  </si>
  <si>
    <t>(Todas)</t>
  </si>
  <si>
    <t>Suma de Factura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</si>
</sst>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\$#,##0.00;\(\$#,##0.00\);\$#,##0.00"/>
    <numFmt numFmtId="166" formatCode="0.00%;\-0.00%;0.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CCCCC"/>
        <bgColor indexed="64"/>
      </patternFill>
    </fill>
    <fill>
      <patternFill patternType="solid">
        <fgColor rgb="FF0070C0"/>
        <bgColor theme="4" tint="0.79998168889431442"/>
      </patternFill>
    </fill>
    <fill>
      <patternFill patternType="solid">
        <fgColor theme="4"/>
        <bgColor theme="4"/>
      </patternFill>
    </fill>
  </fills>
  <borders count="20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1" fontId="4" fillId="0" borderId="0" xfId="0" applyNumberFormat="1" applyFont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21" fontId="0" fillId="0" borderId="3" xfId="0" applyNumberFormat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21" fontId="2" fillId="3" borderId="3" xfId="0" applyNumberFormat="1" applyFont="1" applyFill="1" applyBorder="1" applyAlignment="1">
      <alignment horizontal="center" wrapText="1"/>
    </xf>
    <xf numFmtId="164" fontId="4" fillId="0" borderId="0" xfId="0" applyNumberFormat="1" applyFont="1"/>
    <xf numFmtId="0" fontId="5" fillId="4" borderId="1" xfId="0" applyFont="1" applyFill="1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21" fontId="0" fillId="0" borderId="6" xfId="0" applyNumberFormat="1" applyBorder="1" applyAlignment="1">
      <alignment wrapText="1"/>
    </xf>
    <xf numFmtId="21" fontId="2" fillId="3" borderId="6" xfId="0" applyNumberFormat="1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21" fontId="0" fillId="0" borderId="9" xfId="0" applyNumberFormat="1" applyBorder="1" applyAlignment="1">
      <alignment wrapText="1"/>
    </xf>
    <xf numFmtId="21" fontId="0" fillId="0" borderId="10" xfId="0" applyNumberFormat="1" applyBorder="1" applyAlignment="1">
      <alignment wrapText="1"/>
    </xf>
    <xf numFmtId="0" fontId="2" fillId="3" borderId="0" xfId="0" applyFont="1" applyFill="1" applyAlignment="1">
      <alignment horizontal="center" wrapText="1"/>
    </xf>
    <xf numFmtId="21" fontId="2" fillId="3" borderId="0" xfId="0" applyNumberFormat="1" applyFont="1" applyFill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3" fontId="0" fillId="0" borderId="4" xfId="0" applyNumberFormat="1" applyBorder="1"/>
    <xf numFmtId="165" fontId="0" fillId="0" borderId="4" xfId="0" applyNumberFormat="1" applyBorder="1"/>
    <xf numFmtId="166" fontId="0" fillId="0" borderId="4" xfId="0" applyNumberFormat="1" applyBorder="1"/>
    <xf numFmtId="3" fontId="0" fillId="0" borderId="16" xfId="0" applyNumberFormat="1" applyBorder="1"/>
    <xf numFmtId="0" fontId="0" fillId="0" borderId="17" xfId="0" applyBorder="1"/>
    <xf numFmtId="3" fontId="0" fillId="0" borderId="7" xfId="0" applyNumberFormat="1" applyBorder="1"/>
    <xf numFmtId="165" fontId="0" fillId="0" borderId="7" xfId="0" applyNumberFormat="1" applyBorder="1"/>
    <xf numFmtId="3" fontId="0" fillId="0" borderId="18" xfId="0" applyNumberForma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2" fontId="12" fillId="0" borderId="19" xfId="0" applyNumberFormat="1" applyFont="1" applyBorder="1" applyAlignment="1">
      <alignment horizontal="center" vertical="center"/>
    </xf>
    <xf numFmtId="9" fontId="12" fillId="0" borderId="19" xfId="0" applyNumberFormat="1" applyFont="1" applyBorder="1" applyAlignment="1">
      <alignment horizontal="center" vertical="center"/>
    </xf>
    <xf numFmtId="10" fontId="12" fillId="0" borderId="19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46" fontId="13" fillId="0" borderId="4" xfId="0" applyNumberFormat="1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2" borderId="4" xfId="0" applyFill="1" applyBorder="1"/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 wrapText="1"/>
    </xf>
    <xf numFmtId="165" fontId="0" fillId="2" borderId="4" xfId="0" applyNumberFormat="1" applyFill="1" applyBorder="1"/>
    <xf numFmtId="3" fontId="0" fillId="2" borderId="4" xfId="0" applyNumberFormat="1" applyFill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2" borderId="15" xfId="0" applyFill="1" applyBorder="1"/>
    <xf numFmtId="166" fontId="0" fillId="2" borderId="16" xfId="0" applyNumberFormat="1" applyFill="1" applyBorder="1"/>
    <xf numFmtId="166" fontId="0" fillId="0" borderId="16" xfId="0" applyNumberFormat="1" applyBorder="1"/>
    <xf numFmtId="0" fontId="16" fillId="5" borderId="12" xfId="0" applyFont="1" applyFill="1" applyBorder="1"/>
    <xf numFmtId="0" fontId="16" fillId="5" borderId="13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166" fontId="0" fillId="2" borderId="4" xfId="0" applyNumberFormat="1" applyFill="1" applyBorder="1"/>
    <xf numFmtId="166" fontId="12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3" fontId="0" fillId="0" borderId="0" xfId="0" applyNumberFormat="1" applyAlignment="1">
      <alignment horizontal="left"/>
    </xf>
  </cellXfs>
  <cellStyles count="2">
    <cellStyle name="Normal" xfId="0" builtinId="0"/>
    <cellStyle name="Porcentaje" xfId="1" builtinId="5"/>
  </cellStyles>
  <dxfs count="8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%;\-0.00%;0.0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$#,##0.00;\(\$#,##0.00\);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%;\-0.00%;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$#,##0.00;\(\$#,##0.00\);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\$#,##0.00;\(\$#,##0.00\);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0%;\-0.00%;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center" textRotation="0" indent="0" justifyLastLine="0" shrinkToFit="0" readingOrder="0"/>
    </dxf>
    <dxf>
      <numFmt numFmtId="166" formatCode="0.00%;\-0.00%;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6" formatCode="h:mm:ss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7" formatCode="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3" formatCode="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3" formatCode="0%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6" formatCode="h: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6" formatCode="h:mm:ss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00"/>
      <color rgb="FFF3AA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Tendencia diaria Solicitudes Aprobadas vs Declinadas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'Centro Contacto'!$B$3</c:f>
              <c:strCache>
                <c:ptCount val="1"/>
                <c:pt idx="0">
                  <c:v>Solicitud_Aprobada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'Centro Contacto'!$B$4:$B$34</c:f>
              <c:numCache>
                <c:formatCode>0%</c:formatCode>
                <c:ptCount val="31"/>
                <c:pt idx="0">
                  <c:v>0.65</c:v>
                </c:pt>
                <c:pt idx="1">
                  <c:v>0.68</c:v>
                </c:pt>
                <c:pt idx="2">
                  <c:v>0.66</c:v>
                </c:pt>
                <c:pt idx="3">
                  <c:v>0.68</c:v>
                </c:pt>
                <c:pt idx="4">
                  <c:v>0.69</c:v>
                </c:pt>
                <c:pt idx="5">
                  <c:v>0.65</c:v>
                </c:pt>
                <c:pt idx="6">
                  <c:v>0.67</c:v>
                </c:pt>
                <c:pt idx="7">
                  <c:v>0.64</c:v>
                </c:pt>
                <c:pt idx="8">
                  <c:v>0.68</c:v>
                </c:pt>
                <c:pt idx="9">
                  <c:v>0.63</c:v>
                </c:pt>
                <c:pt idx="10">
                  <c:v>0.69</c:v>
                </c:pt>
                <c:pt idx="11">
                  <c:v>0.72</c:v>
                </c:pt>
                <c:pt idx="12">
                  <c:v>0.63</c:v>
                </c:pt>
                <c:pt idx="13">
                  <c:v>0.66</c:v>
                </c:pt>
                <c:pt idx="14">
                  <c:v>0.62</c:v>
                </c:pt>
                <c:pt idx="15">
                  <c:v>0.67</c:v>
                </c:pt>
                <c:pt idx="16">
                  <c:v>0.64</c:v>
                </c:pt>
                <c:pt idx="17">
                  <c:v>0.65</c:v>
                </c:pt>
                <c:pt idx="18">
                  <c:v>0.65</c:v>
                </c:pt>
                <c:pt idx="19">
                  <c:v>0.62</c:v>
                </c:pt>
                <c:pt idx="20">
                  <c:v>0.66</c:v>
                </c:pt>
                <c:pt idx="21">
                  <c:v>0.66</c:v>
                </c:pt>
                <c:pt idx="22">
                  <c:v>0.61</c:v>
                </c:pt>
                <c:pt idx="23">
                  <c:v>0.63</c:v>
                </c:pt>
                <c:pt idx="24">
                  <c:v>0.66</c:v>
                </c:pt>
                <c:pt idx="25">
                  <c:v>0.61</c:v>
                </c:pt>
                <c:pt idx="26">
                  <c:v>0.61</c:v>
                </c:pt>
                <c:pt idx="27">
                  <c:v>0.57999999999999996</c:v>
                </c:pt>
                <c:pt idx="28">
                  <c:v>0.61</c:v>
                </c:pt>
                <c:pt idx="29">
                  <c:v>0.63</c:v>
                </c:pt>
                <c:pt idx="3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9-432B-8A07-2D23B8EB1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0499647"/>
        <c:axId val="1280490047"/>
      </c:barChart>
      <c:barChart>
        <c:barDir val="col"/>
        <c:grouping val="clustered"/>
        <c:varyColors val="0"/>
        <c:ser>
          <c:idx val="0"/>
          <c:order val="0"/>
          <c:tx>
            <c:strRef>
              <c:f>'Centro Contacto'!$A$3</c:f>
              <c:strCache>
                <c:ptCount val="1"/>
                <c:pt idx="0">
                  <c:v>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'Centro Contacto'!$A$4:$A$34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9-432B-8A07-2D23B8EB1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628800"/>
        <c:axId val="914632160"/>
      </c:barChart>
      <c:lineChart>
        <c:grouping val="standard"/>
        <c:varyColors val="0"/>
        <c:ser>
          <c:idx val="2"/>
          <c:order val="2"/>
          <c:tx>
            <c:strRef>
              <c:f>'Centro Contacto'!$C$3</c:f>
              <c:strCache>
                <c:ptCount val="1"/>
                <c:pt idx="0">
                  <c:v>Solicitud_Declinada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'Centro Contacto'!$C$4:$C$34</c:f>
              <c:numCache>
                <c:formatCode>0%</c:formatCode>
                <c:ptCount val="31"/>
                <c:pt idx="0">
                  <c:v>0.35</c:v>
                </c:pt>
                <c:pt idx="1">
                  <c:v>0.32</c:v>
                </c:pt>
                <c:pt idx="2">
                  <c:v>0.34</c:v>
                </c:pt>
                <c:pt idx="3">
                  <c:v>0.32</c:v>
                </c:pt>
                <c:pt idx="4">
                  <c:v>0.31</c:v>
                </c:pt>
                <c:pt idx="5">
                  <c:v>0.35</c:v>
                </c:pt>
                <c:pt idx="6">
                  <c:v>0.34</c:v>
                </c:pt>
                <c:pt idx="7">
                  <c:v>0.36</c:v>
                </c:pt>
                <c:pt idx="8">
                  <c:v>0.32</c:v>
                </c:pt>
                <c:pt idx="9">
                  <c:v>0.37</c:v>
                </c:pt>
                <c:pt idx="10">
                  <c:v>0.31</c:v>
                </c:pt>
                <c:pt idx="11">
                  <c:v>0.28000000000000003</c:v>
                </c:pt>
                <c:pt idx="12">
                  <c:v>0.36</c:v>
                </c:pt>
                <c:pt idx="13">
                  <c:v>0.34</c:v>
                </c:pt>
                <c:pt idx="14">
                  <c:v>0.38</c:v>
                </c:pt>
                <c:pt idx="15">
                  <c:v>0.33</c:v>
                </c:pt>
                <c:pt idx="16">
                  <c:v>0.36</c:v>
                </c:pt>
                <c:pt idx="17">
                  <c:v>0.35</c:v>
                </c:pt>
                <c:pt idx="18">
                  <c:v>0.35</c:v>
                </c:pt>
                <c:pt idx="19">
                  <c:v>0.38</c:v>
                </c:pt>
                <c:pt idx="20">
                  <c:v>0.34</c:v>
                </c:pt>
                <c:pt idx="21">
                  <c:v>0.34</c:v>
                </c:pt>
                <c:pt idx="22">
                  <c:v>0.39</c:v>
                </c:pt>
                <c:pt idx="23">
                  <c:v>0.37</c:v>
                </c:pt>
                <c:pt idx="24">
                  <c:v>0.34</c:v>
                </c:pt>
                <c:pt idx="25">
                  <c:v>0.39</c:v>
                </c:pt>
                <c:pt idx="26">
                  <c:v>0.39</c:v>
                </c:pt>
                <c:pt idx="27">
                  <c:v>0.42</c:v>
                </c:pt>
                <c:pt idx="28">
                  <c:v>0.38</c:v>
                </c:pt>
                <c:pt idx="29">
                  <c:v>0.37</c:v>
                </c:pt>
                <c:pt idx="30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6-458A-89EE-F5C255305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499647"/>
        <c:axId val="1280490047"/>
      </c:lineChart>
      <c:catAx>
        <c:axId val="128049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280490047"/>
        <c:crosses val="autoZero"/>
        <c:auto val="1"/>
        <c:lblAlgn val="ctr"/>
        <c:lblOffset val="100"/>
        <c:noMultiLvlLbl val="0"/>
      </c:catAx>
      <c:valAx>
        <c:axId val="12804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280499647"/>
        <c:crosses val="autoZero"/>
        <c:crossBetween val="between"/>
      </c:valAx>
      <c:valAx>
        <c:axId val="914632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14628800"/>
        <c:crosses val="max"/>
        <c:crossBetween val="between"/>
      </c:valAx>
      <c:catAx>
        <c:axId val="914628800"/>
        <c:scaling>
          <c:orientation val="minMax"/>
        </c:scaling>
        <c:delete val="1"/>
        <c:axPos val="b"/>
        <c:majorTickMark val="out"/>
        <c:minorTickMark val="none"/>
        <c:tickLblPos val="nextTo"/>
        <c:crossAx val="914632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noFill/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Comparación Tiempo de Espera Promedio vs Meta</a:t>
            </a:r>
            <a:endParaRPr lang="es-DO" sz="2000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'Centro Contacto'!$D$3</c:f>
              <c:strCache>
                <c:ptCount val="1"/>
                <c:pt idx="0">
                  <c:v>Tiempo_Espera_Promedio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flat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'Centro Contacto'!$D$4:$D$34</c:f>
              <c:numCache>
                <c:formatCode>General</c:formatCode>
                <c:ptCount val="31"/>
                <c:pt idx="0">
                  <c:v>2.9282407407407412E-3</c:v>
                </c:pt>
                <c:pt idx="1">
                  <c:v>2.9282407407407412E-3</c:v>
                </c:pt>
                <c:pt idx="2">
                  <c:v>8.6574074074074071E-3</c:v>
                </c:pt>
                <c:pt idx="3">
                  <c:v>9.3402777777777772E-3</c:v>
                </c:pt>
                <c:pt idx="4">
                  <c:v>8.7962962962962962E-4</c:v>
                </c:pt>
                <c:pt idx="5">
                  <c:v>7.3495370370370372E-3</c:v>
                </c:pt>
                <c:pt idx="6">
                  <c:v>4.6990740740740743E-3</c:v>
                </c:pt>
                <c:pt idx="7">
                  <c:v>2.1053240740740744E-2</c:v>
                </c:pt>
                <c:pt idx="8">
                  <c:v>3.9699074074074072E-3</c:v>
                </c:pt>
                <c:pt idx="9">
                  <c:v>5.4050925925925924E-3</c:v>
                </c:pt>
                <c:pt idx="10">
                  <c:v>4.8611111111111104E-4</c:v>
                </c:pt>
                <c:pt idx="11">
                  <c:v>1.4930555555555556E-3</c:v>
                </c:pt>
                <c:pt idx="12">
                  <c:v>9.7916666666666655E-3</c:v>
                </c:pt>
                <c:pt idx="13">
                  <c:v>2.0370370370370373E-3</c:v>
                </c:pt>
                <c:pt idx="14">
                  <c:v>1.8402777777777777E-3</c:v>
                </c:pt>
                <c:pt idx="15">
                  <c:v>2.685185185185185E-3</c:v>
                </c:pt>
                <c:pt idx="16">
                  <c:v>7.4421296296296293E-3</c:v>
                </c:pt>
                <c:pt idx="17">
                  <c:v>6.8287037037037025E-4</c:v>
                </c:pt>
                <c:pt idx="18">
                  <c:v>2.0254629629629629E-3</c:v>
                </c:pt>
                <c:pt idx="19">
                  <c:v>2.4421296296296296E-3</c:v>
                </c:pt>
                <c:pt idx="20">
                  <c:v>3.2291666666666666E-3</c:v>
                </c:pt>
                <c:pt idx="21">
                  <c:v>2.6620370370370374E-3</c:v>
                </c:pt>
                <c:pt idx="22">
                  <c:v>3.4490740740740745E-3</c:v>
                </c:pt>
                <c:pt idx="23">
                  <c:v>9.3750000000000007E-4</c:v>
                </c:pt>
                <c:pt idx="24">
                  <c:v>3.7037037037037035E-4</c:v>
                </c:pt>
                <c:pt idx="25">
                  <c:v>4.0972222222222226E-3</c:v>
                </c:pt>
                <c:pt idx="26">
                  <c:v>2.9282407407407412E-3</c:v>
                </c:pt>
                <c:pt idx="27">
                  <c:v>3.2754629629629631E-3</c:v>
                </c:pt>
                <c:pt idx="28">
                  <c:v>3.9004629629629632E-3</c:v>
                </c:pt>
                <c:pt idx="29">
                  <c:v>2.5000000000000001E-3</c:v>
                </c:pt>
                <c:pt idx="30">
                  <c:v>4.6296296296296302E-3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F-4B87-8490-A096535A9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2226944"/>
        <c:axId val="1502227424"/>
      </c:barChart>
      <c:lineChart>
        <c:grouping val="standard"/>
        <c:varyColors val="0"/>
        <c:ser>
          <c:idx val="1"/>
          <c:order val="1"/>
          <c:tx>
            <c:strRef>
              <c:f>'Centro Contacto'!$E$3</c:f>
              <c:strCache>
                <c:ptCount val="1"/>
                <c:pt idx="0">
                  <c:v>Tiempo_Espera_Meta</c:v>
                </c:pt>
              </c:strCache>
            </c:strRef>
          </c:tx>
          <c:spPr>
            <a:ln w="34925" cap="rnd" cmpd="thinThick">
              <a:solidFill>
                <a:schemeClr val="accent2"/>
              </a:solidFill>
              <a:round/>
              <a:headEnd type="triangle"/>
              <a:tail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'Centro Contacto'!$E$4:$E$34</c:f>
              <c:numCache>
                <c:formatCode>General</c:formatCode>
                <c:ptCount val="31"/>
                <c:pt idx="0">
                  <c:v>1.0416666666666666E-2</c:v>
                </c:pt>
                <c:pt idx="1">
                  <c:v>1.0416666666666666E-2</c:v>
                </c:pt>
                <c:pt idx="2">
                  <c:v>1.0416666666666666E-2</c:v>
                </c:pt>
                <c:pt idx="3">
                  <c:v>1.0416666666666666E-2</c:v>
                </c:pt>
                <c:pt idx="4">
                  <c:v>1.0416666666666666E-2</c:v>
                </c:pt>
                <c:pt idx="5">
                  <c:v>1.0416666666666666E-2</c:v>
                </c:pt>
                <c:pt idx="6">
                  <c:v>1.0416666666666666E-2</c:v>
                </c:pt>
                <c:pt idx="7">
                  <c:v>1.0416666666666666E-2</c:v>
                </c:pt>
                <c:pt idx="8">
                  <c:v>1.0416666666666666E-2</c:v>
                </c:pt>
                <c:pt idx="9">
                  <c:v>1.0416666666666666E-2</c:v>
                </c:pt>
                <c:pt idx="10">
                  <c:v>1.0416666666666666E-2</c:v>
                </c:pt>
                <c:pt idx="11">
                  <c:v>1.0416666666666666E-2</c:v>
                </c:pt>
                <c:pt idx="12">
                  <c:v>1.0416666666666666E-2</c:v>
                </c:pt>
                <c:pt idx="13">
                  <c:v>1.0416666666666666E-2</c:v>
                </c:pt>
                <c:pt idx="14">
                  <c:v>1.0416666666666666E-2</c:v>
                </c:pt>
                <c:pt idx="15">
                  <c:v>1.0416666666666666E-2</c:v>
                </c:pt>
                <c:pt idx="16">
                  <c:v>1.0416666666666666E-2</c:v>
                </c:pt>
                <c:pt idx="17">
                  <c:v>1.0416666666666666E-2</c:v>
                </c:pt>
                <c:pt idx="18">
                  <c:v>1.0416666666666666E-2</c:v>
                </c:pt>
                <c:pt idx="19">
                  <c:v>1.0416666666666666E-2</c:v>
                </c:pt>
                <c:pt idx="20">
                  <c:v>1.0416666666666666E-2</c:v>
                </c:pt>
                <c:pt idx="21">
                  <c:v>1.0416666666666666E-2</c:v>
                </c:pt>
                <c:pt idx="22">
                  <c:v>1.0416666666666666E-2</c:v>
                </c:pt>
                <c:pt idx="23">
                  <c:v>1.0416666666666666E-2</c:v>
                </c:pt>
                <c:pt idx="24">
                  <c:v>1.0416666666666666E-2</c:v>
                </c:pt>
                <c:pt idx="25">
                  <c:v>1.0416666666666666E-2</c:v>
                </c:pt>
                <c:pt idx="26">
                  <c:v>1.0416666666666666E-2</c:v>
                </c:pt>
                <c:pt idx="27">
                  <c:v>1.0416666666666666E-2</c:v>
                </c:pt>
                <c:pt idx="28">
                  <c:v>1.0416666666666666E-2</c:v>
                </c:pt>
                <c:pt idx="29">
                  <c:v>1.0416666666666666E-2</c:v>
                </c:pt>
                <c:pt idx="30">
                  <c:v>1.0416666666666666E-2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F-4B87-8490-A096535A9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226944"/>
        <c:axId val="1502227424"/>
      </c:lineChart>
      <c:catAx>
        <c:axId val="150222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02227424"/>
        <c:crosses val="autoZero"/>
        <c:auto val="1"/>
        <c:lblAlgn val="ctr"/>
        <c:lblOffset val="100"/>
        <c:noMultiLvlLbl val="0"/>
      </c:catAx>
      <c:valAx>
        <c:axId val="150222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triangle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022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20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“Tendencia diaria del Tiempo de Espera </a:t>
            </a:r>
            <a:endParaRPr lang="es-DO" sz="2000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'Centro Contacto'!$A$40</c:f>
              <c:strCache>
                <c:ptCount val="1"/>
                <c:pt idx="0">
                  <c:v>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'Centro Contacto'!$A$41:$A$71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4-4B48-B64C-DC20859C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069568"/>
        <c:axId val="1504071008"/>
      </c:lineChart>
      <c:lineChart>
        <c:grouping val="standard"/>
        <c:varyColors val="0"/>
        <c:ser>
          <c:idx val="1"/>
          <c:order val="1"/>
          <c:tx>
            <c:strRef>
              <c:f>'Centro Contacto'!$B$40</c:f>
              <c:strCache>
                <c:ptCount val="1"/>
                <c:pt idx="0">
                  <c:v>Tiempo_Espera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'Centro Contacto'!$B$41:$B$71</c:f>
              <c:numCache>
                <c:formatCode>h:mm:ss</c:formatCode>
                <c:ptCount val="31"/>
                <c:pt idx="0">
                  <c:v>5.6018518518518518E-3</c:v>
                </c:pt>
                <c:pt idx="1">
                  <c:v>8.8310185185185176E-3</c:v>
                </c:pt>
                <c:pt idx="2">
                  <c:v>1.0023148148148147E-2</c:v>
                </c:pt>
                <c:pt idx="3">
                  <c:v>2.3726851851851851E-3</c:v>
                </c:pt>
                <c:pt idx="4">
                  <c:v>4.8958333333333328E-3</c:v>
                </c:pt>
                <c:pt idx="5">
                  <c:v>1.1006944444444444E-2</c:v>
                </c:pt>
                <c:pt idx="6">
                  <c:v>3.8310185185185183E-3</c:v>
                </c:pt>
                <c:pt idx="7">
                  <c:v>2.1064814814814813E-3</c:v>
                </c:pt>
                <c:pt idx="8">
                  <c:v>3.7847222222222223E-3</c:v>
                </c:pt>
                <c:pt idx="9">
                  <c:v>2.615740740740741E-3</c:v>
                </c:pt>
                <c:pt idx="10">
                  <c:v>4.3287037037037035E-3</c:v>
                </c:pt>
                <c:pt idx="11">
                  <c:v>2.3148148148148151E-3</c:v>
                </c:pt>
                <c:pt idx="12">
                  <c:v>5.5555555555555558E-3</c:v>
                </c:pt>
                <c:pt idx="13">
                  <c:v>2.4652777777777776E-3</c:v>
                </c:pt>
                <c:pt idx="14">
                  <c:v>1.9212962962962962E-3</c:v>
                </c:pt>
                <c:pt idx="15">
                  <c:v>2.2569444444444447E-3</c:v>
                </c:pt>
                <c:pt idx="16">
                  <c:v>2.7546296296296294E-3</c:v>
                </c:pt>
                <c:pt idx="17">
                  <c:v>1.8518518518518517E-3</c:v>
                </c:pt>
                <c:pt idx="18">
                  <c:v>5.3587962962962964E-3</c:v>
                </c:pt>
                <c:pt idx="19">
                  <c:v>3.2638888888888891E-3</c:v>
                </c:pt>
                <c:pt idx="20">
                  <c:v>3.3449074074074071E-3</c:v>
                </c:pt>
                <c:pt idx="21">
                  <c:v>2.1296296296296298E-3</c:v>
                </c:pt>
                <c:pt idx="22">
                  <c:v>2.0949074074074073E-3</c:v>
                </c:pt>
                <c:pt idx="23">
                  <c:v>2.5810185185185185E-3</c:v>
                </c:pt>
                <c:pt idx="24">
                  <c:v>1.2731481481481483E-3</c:v>
                </c:pt>
                <c:pt idx="25">
                  <c:v>4.6990740740740743E-3</c:v>
                </c:pt>
                <c:pt idx="26">
                  <c:v>4.0509259259259257E-3</c:v>
                </c:pt>
                <c:pt idx="27">
                  <c:v>2.4421296296296296E-3</c:v>
                </c:pt>
                <c:pt idx="28">
                  <c:v>2.6504629629629625E-3</c:v>
                </c:pt>
                <c:pt idx="29">
                  <c:v>4.8495370370370368E-3</c:v>
                </c:pt>
                <c:pt idx="30">
                  <c:v>4.9074074074074072E-3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4-4B48-B64C-DC20859C7B40}"/>
            </c:ext>
          </c:extLst>
        </c:ser>
        <c:ser>
          <c:idx val="2"/>
          <c:order val="2"/>
          <c:tx>
            <c:strRef>
              <c:f>'Centro Contacto'!$C$40</c:f>
              <c:strCache>
                <c:ptCount val="1"/>
                <c:pt idx="0">
                  <c:v>Tiempo_Sesion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'Centro Contacto'!$C$41:$C$71</c:f>
              <c:numCache>
                <c:formatCode>h:mm:ss</c:formatCode>
                <c:ptCount val="31"/>
                <c:pt idx="0">
                  <c:v>1.1886574074074075E-2</c:v>
                </c:pt>
                <c:pt idx="1">
                  <c:v>1.5578703703703704E-2</c:v>
                </c:pt>
                <c:pt idx="2">
                  <c:v>1.5879629629629629E-2</c:v>
                </c:pt>
                <c:pt idx="3">
                  <c:v>1.1608796296296296E-2</c:v>
                </c:pt>
                <c:pt idx="4">
                  <c:v>1.3055555555555556E-2</c:v>
                </c:pt>
                <c:pt idx="5">
                  <c:v>1.3726851851851851E-2</c:v>
                </c:pt>
                <c:pt idx="6">
                  <c:v>1.1979166666666666E-2</c:v>
                </c:pt>
                <c:pt idx="7">
                  <c:v>1.2546296296296297E-2</c:v>
                </c:pt>
                <c:pt idx="8">
                  <c:v>1.375E-2</c:v>
                </c:pt>
                <c:pt idx="9">
                  <c:v>1.4363425925925925E-2</c:v>
                </c:pt>
                <c:pt idx="10">
                  <c:v>1.4872685185185185E-2</c:v>
                </c:pt>
                <c:pt idx="11">
                  <c:v>1.2939814814814814E-2</c:v>
                </c:pt>
                <c:pt idx="12">
                  <c:v>1.5555555555555553E-2</c:v>
                </c:pt>
                <c:pt idx="13">
                  <c:v>1.2916666666666667E-2</c:v>
                </c:pt>
                <c:pt idx="14">
                  <c:v>1.2268518518518519E-2</c:v>
                </c:pt>
                <c:pt idx="15">
                  <c:v>1.3854166666666666E-2</c:v>
                </c:pt>
                <c:pt idx="16">
                  <c:v>2.6273148148148153E-2</c:v>
                </c:pt>
                <c:pt idx="17">
                  <c:v>4.2256944444444444E-2</c:v>
                </c:pt>
                <c:pt idx="18">
                  <c:v>1.6192129629629629E-2</c:v>
                </c:pt>
                <c:pt idx="19">
                  <c:v>1.3668981481481482E-2</c:v>
                </c:pt>
                <c:pt idx="20">
                  <c:v>1.3032407407407407E-2</c:v>
                </c:pt>
                <c:pt idx="21">
                  <c:v>1.3032407407407407E-2</c:v>
                </c:pt>
                <c:pt idx="22">
                  <c:v>1.3541666666666667E-2</c:v>
                </c:pt>
                <c:pt idx="23">
                  <c:v>1.3958333333333335E-2</c:v>
                </c:pt>
                <c:pt idx="24">
                  <c:v>1.1064814814814814E-2</c:v>
                </c:pt>
                <c:pt idx="25">
                  <c:v>1.8530092592592595E-2</c:v>
                </c:pt>
                <c:pt idx="26">
                  <c:v>1.5879629629629629E-2</c:v>
                </c:pt>
                <c:pt idx="27">
                  <c:v>1.4085648148148151E-2</c:v>
                </c:pt>
                <c:pt idx="28">
                  <c:v>1.4097222222222221E-2</c:v>
                </c:pt>
                <c:pt idx="29">
                  <c:v>1.0358796296296295E-2</c:v>
                </c:pt>
                <c:pt idx="30">
                  <c:v>2.0277777777777777E-2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2-43B1-B46D-778541B1C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315584"/>
        <c:axId val="1441336752"/>
      </c:lineChart>
      <c:catAx>
        <c:axId val="1504069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04071008"/>
        <c:crosses val="autoZero"/>
        <c:auto val="1"/>
        <c:lblAlgn val="ctr"/>
        <c:lblOffset val="31"/>
        <c:tickLblSkip val="1"/>
        <c:noMultiLvlLbl val="0"/>
      </c:catAx>
      <c:valAx>
        <c:axId val="150407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04069568"/>
        <c:crosses val="autoZero"/>
        <c:crossBetween val="between"/>
      </c:valAx>
      <c:valAx>
        <c:axId val="1441336752"/>
        <c:scaling>
          <c:orientation val="minMax"/>
        </c:scaling>
        <c:delete val="0"/>
        <c:axPos val="r"/>
        <c:numFmt formatCode="#,##0.00_);\(#,##0.0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12315584"/>
        <c:crosses val="max"/>
        <c:crossBetween val="between"/>
      </c:valAx>
      <c:catAx>
        <c:axId val="1512315584"/>
        <c:scaling>
          <c:orientation val="minMax"/>
        </c:scaling>
        <c:delete val="1"/>
        <c:axPos val="b"/>
        <c:majorTickMark val="out"/>
        <c:minorTickMark val="none"/>
        <c:tickLblPos val="nextTo"/>
        <c:crossAx val="1441336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05327320802353"/>
          <c:y val="0.93786575629236635"/>
          <c:w val="0.49000597232419779"/>
          <c:h val="6.2134270222705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DO" sz="2400"/>
              <a:t>Cumplimiento: Abandono y Nivel de Servicio vs Metas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'Centro Contacto'!$B$79</c:f>
              <c:strCache>
                <c:ptCount val="1"/>
                <c:pt idx="0">
                  <c:v>Abandono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'Centro Contacto'!$B$80:$B$110</c:f>
              <c:numCache>
                <c:formatCode>0%</c:formatCode>
                <c:ptCount val="31"/>
                <c:pt idx="0">
                  <c:v>0.59</c:v>
                </c:pt>
                <c:pt idx="1">
                  <c:v>0.52</c:v>
                </c:pt>
                <c:pt idx="2">
                  <c:v>0.34</c:v>
                </c:pt>
                <c:pt idx="3">
                  <c:v>2.5999999999999999E-2</c:v>
                </c:pt>
                <c:pt idx="4">
                  <c:v>7.0000000000000007E-2</c:v>
                </c:pt>
                <c:pt idx="5">
                  <c:v>0.63560000000000005</c:v>
                </c:pt>
                <c:pt idx="6">
                  <c:v>0.46</c:v>
                </c:pt>
                <c:pt idx="7">
                  <c:v>0.51</c:v>
                </c:pt>
                <c:pt idx="8">
                  <c:v>0.4</c:v>
                </c:pt>
                <c:pt idx="9">
                  <c:v>0.09</c:v>
                </c:pt>
                <c:pt idx="10">
                  <c:v>0.03</c:v>
                </c:pt>
                <c:pt idx="11">
                  <c:v>0.44</c:v>
                </c:pt>
                <c:pt idx="12">
                  <c:v>0.5</c:v>
                </c:pt>
                <c:pt idx="13">
                  <c:v>0.5</c:v>
                </c:pt>
                <c:pt idx="14">
                  <c:v>0.44</c:v>
                </c:pt>
                <c:pt idx="15">
                  <c:v>0.39</c:v>
                </c:pt>
                <c:pt idx="16">
                  <c:v>0.12</c:v>
                </c:pt>
                <c:pt idx="17">
                  <c:v>1.11E-2</c:v>
                </c:pt>
                <c:pt idx="18">
                  <c:v>0.14000000000000001</c:v>
                </c:pt>
                <c:pt idx="19">
                  <c:v>0.11</c:v>
                </c:pt>
                <c:pt idx="20">
                  <c:v>0.09</c:v>
                </c:pt>
                <c:pt idx="21">
                  <c:v>0.05</c:v>
                </c:pt>
                <c:pt idx="22">
                  <c:v>0.04</c:v>
                </c:pt>
                <c:pt idx="23">
                  <c:v>0.13</c:v>
                </c:pt>
                <c:pt idx="24">
                  <c:v>0.01</c:v>
                </c:pt>
                <c:pt idx="25">
                  <c:v>0.1353</c:v>
                </c:pt>
                <c:pt idx="26">
                  <c:v>5.6500000000000002E-2</c:v>
                </c:pt>
                <c:pt idx="27">
                  <c:v>0.25609999999999999</c:v>
                </c:pt>
                <c:pt idx="28">
                  <c:v>0.1139</c:v>
                </c:pt>
                <c:pt idx="29">
                  <c:v>0.2757</c:v>
                </c:pt>
                <c:pt idx="30">
                  <c:v>4.3999999999999997E-2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4-4CCA-93A1-E47AA3942422}"/>
            </c:ext>
          </c:extLst>
        </c:ser>
        <c:ser>
          <c:idx val="3"/>
          <c:order val="2"/>
          <c:tx>
            <c:strRef>
              <c:f>'Centro Contacto'!$D$79</c:f>
              <c:strCache>
                <c:ptCount val="1"/>
                <c:pt idx="0">
                  <c:v>Nivel_Servicio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'Centro Contacto'!$D$80:$D$110</c:f>
              <c:numCache>
                <c:formatCode>0%</c:formatCode>
                <c:ptCount val="31"/>
                <c:pt idx="0">
                  <c:v>0.10680000000000001</c:v>
                </c:pt>
                <c:pt idx="1">
                  <c:v>0.1799</c:v>
                </c:pt>
                <c:pt idx="2">
                  <c:v>0.35449999999999998</c:v>
                </c:pt>
                <c:pt idx="3">
                  <c:v>0.86</c:v>
                </c:pt>
                <c:pt idx="4">
                  <c:v>0.8</c:v>
                </c:pt>
                <c:pt idx="5">
                  <c:v>5.7599999999999998E-2</c:v>
                </c:pt>
                <c:pt idx="6">
                  <c:v>0.24</c:v>
                </c:pt>
                <c:pt idx="7">
                  <c:v>0.21</c:v>
                </c:pt>
                <c:pt idx="8">
                  <c:v>0.2</c:v>
                </c:pt>
                <c:pt idx="9">
                  <c:v>0.64</c:v>
                </c:pt>
                <c:pt idx="10">
                  <c:v>0.89</c:v>
                </c:pt>
                <c:pt idx="11">
                  <c:v>0.19</c:v>
                </c:pt>
                <c:pt idx="12">
                  <c:v>0.19</c:v>
                </c:pt>
                <c:pt idx="13">
                  <c:v>0.21</c:v>
                </c:pt>
                <c:pt idx="14">
                  <c:v>0.23</c:v>
                </c:pt>
                <c:pt idx="15">
                  <c:v>0.33</c:v>
                </c:pt>
                <c:pt idx="16">
                  <c:v>0.56999999999999995</c:v>
                </c:pt>
                <c:pt idx="17">
                  <c:v>0.98</c:v>
                </c:pt>
                <c:pt idx="18">
                  <c:v>0.5</c:v>
                </c:pt>
                <c:pt idx="19">
                  <c:v>0.52</c:v>
                </c:pt>
                <c:pt idx="20">
                  <c:v>0.63</c:v>
                </c:pt>
                <c:pt idx="21">
                  <c:v>0.77</c:v>
                </c:pt>
                <c:pt idx="22">
                  <c:v>0.80589999999999995</c:v>
                </c:pt>
                <c:pt idx="23">
                  <c:v>0.68</c:v>
                </c:pt>
                <c:pt idx="24">
                  <c:v>0.92</c:v>
                </c:pt>
                <c:pt idx="25">
                  <c:v>0.49</c:v>
                </c:pt>
                <c:pt idx="26">
                  <c:v>0.67</c:v>
                </c:pt>
                <c:pt idx="27">
                  <c:v>0.36449999999999999</c:v>
                </c:pt>
                <c:pt idx="28">
                  <c:v>0.58330000000000004</c:v>
                </c:pt>
                <c:pt idx="29">
                  <c:v>0.35859999999999997</c:v>
                </c:pt>
                <c:pt idx="30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F4-4CCA-93A1-E47AA394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512316064"/>
        <c:axId val="1512316544"/>
      </c:barChart>
      <c:lineChart>
        <c:grouping val="standard"/>
        <c:varyColors val="0"/>
        <c:ser>
          <c:idx val="2"/>
          <c:order val="1"/>
          <c:tx>
            <c:strRef>
              <c:f>'Centro Contacto'!$C$79</c:f>
              <c:strCache>
                <c:ptCount val="1"/>
                <c:pt idx="0">
                  <c:v>Abandono_ Meta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'Centro Contacto'!$C$80:$C$110</c:f>
              <c:numCache>
                <c:formatCode>0%</c:formatCode>
                <c:ptCount val="31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4-4CCA-93A1-E47AA3942422}"/>
            </c:ext>
          </c:extLst>
        </c:ser>
        <c:ser>
          <c:idx val="4"/>
          <c:order val="3"/>
          <c:tx>
            <c:strRef>
              <c:f>'Centro Contacto'!$E$79</c:f>
              <c:strCache>
                <c:ptCount val="1"/>
                <c:pt idx="0">
                  <c:v>Nivel_Servicio_Meta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'Centro Contacto'!$E$80:$E$110</c:f>
              <c:numCache>
                <c:formatCode>0%</c:formatCode>
                <c:ptCount val="31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F4-4CCA-93A1-E47AA394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316064"/>
        <c:axId val="1512316544"/>
      </c:lineChart>
      <c:catAx>
        <c:axId val="151231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12316544"/>
        <c:crosses val="autoZero"/>
        <c:auto val="1"/>
        <c:lblAlgn val="ctr"/>
        <c:lblOffset val="100"/>
        <c:noMultiLvlLbl val="0"/>
      </c:catAx>
      <c:valAx>
        <c:axId val="15123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51231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DO"/>
              <a:t>TE, Chats BOT vs Recibidos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'Centro Contacto'!$D$40</c:f>
              <c:strCache>
                <c:ptCount val="1"/>
                <c:pt idx="0">
                  <c:v>Chats_BOT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'Centro Contacto'!$B$41:$B$71</c:f>
              <c:numCache>
                <c:formatCode>h:mm:ss</c:formatCode>
                <c:ptCount val="31"/>
                <c:pt idx="0">
                  <c:v>5.6018518518518518E-3</c:v>
                </c:pt>
                <c:pt idx="1">
                  <c:v>8.8310185185185176E-3</c:v>
                </c:pt>
                <c:pt idx="2">
                  <c:v>1.0023148148148147E-2</c:v>
                </c:pt>
                <c:pt idx="3">
                  <c:v>2.3726851851851851E-3</c:v>
                </c:pt>
                <c:pt idx="4">
                  <c:v>4.8958333333333328E-3</c:v>
                </c:pt>
                <c:pt idx="5">
                  <c:v>1.1006944444444444E-2</c:v>
                </c:pt>
                <c:pt idx="6">
                  <c:v>3.8310185185185183E-3</c:v>
                </c:pt>
                <c:pt idx="7">
                  <c:v>2.1064814814814813E-3</c:v>
                </c:pt>
                <c:pt idx="8">
                  <c:v>3.7847222222222223E-3</c:v>
                </c:pt>
                <c:pt idx="9">
                  <c:v>2.615740740740741E-3</c:v>
                </c:pt>
                <c:pt idx="10">
                  <c:v>4.3287037037037035E-3</c:v>
                </c:pt>
                <c:pt idx="11">
                  <c:v>2.3148148148148151E-3</c:v>
                </c:pt>
                <c:pt idx="12">
                  <c:v>5.5555555555555558E-3</c:v>
                </c:pt>
                <c:pt idx="13">
                  <c:v>2.4652777777777776E-3</c:v>
                </c:pt>
                <c:pt idx="14">
                  <c:v>1.9212962962962962E-3</c:v>
                </c:pt>
                <c:pt idx="15">
                  <c:v>2.2569444444444447E-3</c:v>
                </c:pt>
                <c:pt idx="16">
                  <c:v>2.7546296296296294E-3</c:v>
                </c:pt>
                <c:pt idx="17">
                  <c:v>1.8518518518518517E-3</c:v>
                </c:pt>
                <c:pt idx="18">
                  <c:v>5.3587962962962964E-3</c:v>
                </c:pt>
                <c:pt idx="19">
                  <c:v>3.2638888888888891E-3</c:v>
                </c:pt>
                <c:pt idx="20">
                  <c:v>3.3449074074074071E-3</c:v>
                </c:pt>
                <c:pt idx="21">
                  <c:v>2.1296296296296298E-3</c:v>
                </c:pt>
                <c:pt idx="22">
                  <c:v>2.0949074074074073E-3</c:v>
                </c:pt>
                <c:pt idx="23">
                  <c:v>2.5810185185185185E-3</c:v>
                </c:pt>
                <c:pt idx="24">
                  <c:v>1.2731481481481483E-3</c:v>
                </c:pt>
                <c:pt idx="25">
                  <c:v>4.6990740740740743E-3</c:v>
                </c:pt>
                <c:pt idx="26">
                  <c:v>4.0509259259259257E-3</c:v>
                </c:pt>
                <c:pt idx="27">
                  <c:v>2.4421296296296296E-3</c:v>
                </c:pt>
                <c:pt idx="28">
                  <c:v>2.6504629629629625E-3</c:v>
                </c:pt>
                <c:pt idx="29">
                  <c:v>4.8495370370370368E-3</c:v>
                </c:pt>
                <c:pt idx="30">
                  <c:v>4.9074074074074072E-3</c:v>
                </c:pt>
              </c:numCache>
            </c:numRef>
          </c:cat>
          <c:val>
            <c:numRef>
              <c:f>'Centro Contacto'!$D$41:$D$71</c:f>
              <c:numCache>
                <c:formatCode>General</c:formatCode>
                <c:ptCount val="31"/>
                <c:pt idx="0">
                  <c:v>1134</c:v>
                </c:pt>
                <c:pt idx="1">
                  <c:v>992</c:v>
                </c:pt>
                <c:pt idx="2">
                  <c:v>592</c:v>
                </c:pt>
                <c:pt idx="3">
                  <c:v>338</c:v>
                </c:pt>
                <c:pt idx="4">
                  <c:v>529</c:v>
                </c:pt>
                <c:pt idx="5">
                  <c:v>1551</c:v>
                </c:pt>
                <c:pt idx="6">
                  <c:v>1389</c:v>
                </c:pt>
                <c:pt idx="7">
                  <c:v>1220</c:v>
                </c:pt>
                <c:pt idx="8">
                  <c:v>1154</c:v>
                </c:pt>
                <c:pt idx="9">
                  <c:v>597</c:v>
                </c:pt>
                <c:pt idx="10">
                  <c:v>363</c:v>
                </c:pt>
                <c:pt idx="11">
                  <c:v>1361</c:v>
                </c:pt>
                <c:pt idx="12">
                  <c:v>1318</c:v>
                </c:pt>
                <c:pt idx="13">
                  <c:v>1295</c:v>
                </c:pt>
                <c:pt idx="14">
                  <c:v>1200</c:v>
                </c:pt>
                <c:pt idx="15">
                  <c:v>953</c:v>
                </c:pt>
                <c:pt idx="16">
                  <c:v>540</c:v>
                </c:pt>
                <c:pt idx="17">
                  <c:v>316</c:v>
                </c:pt>
                <c:pt idx="18">
                  <c:v>1212</c:v>
                </c:pt>
                <c:pt idx="19">
                  <c:v>1153</c:v>
                </c:pt>
                <c:pt idx="20">
                  <c:v>1050</c:v>
                </c:pt>
                <c:pt idx="21">
                  <c:v>1053</c:v>
                </c:pt>
                <c:pt idx="22">
                  <c:v>885</c:v>
                </c:pt>
                <c:pt idx="23">
                  <c:v>495</c:v>
                </c:pt>
                <c:pt idx="24">
                  <c:v>204</c:v>
                </c:pt>
                <c:pt idx="25">
                  <c:v>1171</c:v>
                </c:pt>
                <c:pt idx="26">
                  <c:v>1160</c:v>
                </c:pt>
                <c:pt idx="27">
                  <c:v>1128</c:v>
                </c:pt>
                <c:pt idx="28">
                  <c:v>1004</c:v>
                </c:pt>
                <c:pt idx="29">
                  <c:v>1053</c:v>
                </c:pt>
                <c:pt idx="30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3-4FD3-A69E-E0C04902C9FB}"/>
            </c:ext>
          </c:extLst>
        </c:ser>
        <c:ser>
          <c:idx val="1"/>
          <c:order val="1"/>
          <c:tx>
            <c:strRef>
              <c:f>'Centro Contacto'!$E$40</c:f>
              <c:strCache>
                <c:ptCount val="1"/>
                <c:pt idx="0">
                  <c:v>Chats_Recibidos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'Centro Contacto'!$B$41:$B$71</c:f>
              <c:numCache>
                <c:formatCode>h:mm:ss</c:formatCode>
                <c:ptCount val="31"/>
                <c:pt idx="0">
                  <c:v>5.6018518518518518E-3</c:v>
                </c:pt>
                <c:pt idx="1">
                  <c:v>8.8310185185185176E-3</c:v>
                </c:pt>
                <c:pt idx="2">
                  <c:v>1.0023148148148147E-2</c:v>
                </c:pt>
                <c:pt idx="3">
                  <c:v>2.3726851851851851E-3</c:v>
                </c:pt>
                <c:pt idx="4">
                  <c:v>4.8958333333333328E-3</c:v>
                </c:pt>
                <c:pt idx="5">
                  <c:v>1.1006944444444444E-2</c:v>
                </c:pt>
                <c:pt idx="6">
                  <c:v>3.8310185185185183E-3</c:v>
                </c:pt>
                <c:pt idx="7">
                  <c:v>2.1064814814814813E-3</c:v>
                </c:pt>
                <c:pt idx="8">
                  <c:v>3.7847222222222223E-3</c:v>
                </c:pt>
                <c:pt idx="9">
                  <c:v>2.615740740740741E-3</c:v>
                </c:pt>
                <c:pt idx="10">
                  <c:v>4.3287037037037035E-3</c:v>
                </c:pt>
                <c:pt idx="11">
                  <c:v>2.3148148148148151E-3</c:v>
                </c:pt>
                <c:pt idx="12">
                  <c:v>5.5555555555555558E-3</c:v>
                </c:pt>
                <c:pt idx="13">
                  <c:v>2.4652777777777776E-3</c:v>
                </c:pt>
                <c:pt idx="14">
                  <c:v>1.9212962962962962E-3</c:v>
                </c:pt>
                <c:pt idx="15">
                  <c:v>2.2569444444444447E-3</c:v>
                </c:pt>
                <c:pt idx="16">
                  <c:v>2.7546296296296294E-3</c:v>
                </c:pt>
                <c:pt idx="17">
                  <c:v>1.8518518518518517E-3</c:v>
                </c:pt>
                <c:pt idx="18">
                  <c:v>5.3587962962962964E-3</c:v>
                </c:pt>
                <c:pt idx="19">
                  <c:v>3.2638888888888891E-3</c:v>
                </c:pt>
                <c:pt idx="20">
                  <c:v>3.3449074074074071E-3</c:v>
                </c:pt>
                <c:pt idx="21">
                  <c:v>2.1296296296296298E-3</c:v>
                </c:pt>
                <c:pt idx="22">
                  <c:v>2.0949074074074073E-3</c:v>
                </c:pt>
                <c:pt idx="23">
                  <c:v>2.5810185185185185E-3</c:v>
                </c:pt>
                <c:pt idx="24">
                  <c:v>1.2731481481481483E-3</c:v>
                </c:pt>
                <c:pt idx="25">
                  <c:v>4.6990740740740743E-3</c:v>
                </c:pt>
                <c:pt idx="26">
                  <c:v>4.0509259259259257E-3</c:v>
                </c:pt>
                <c:pt idx="27">
                  <c:v>2.4421296296296296E-3</c:v>
                </c:pt>
                <c:pt idx="28">
                  <c:v>2.6504629629629625E-3</c:v>
                </c:pt>
                <c:pt idx="29">
                  <c:v>4.8495370370370368E-3</c:v>
                </c:pt>
                <c:pt idx="30">
                  <c:v>4.9074074074074072E-3</c:v>
                </c:pt>
              </c:numCache>
            </c:numRef>
          </c:cat>
          <c:val>
            <c:numRef>
              <c:f>'Centro Contacto'!$E$41:$E$71</c:f>
              <c:numCache>
                <c:formatCode>General</c:formatCode>
                <c:ptCount val="31"/>
                <c:pt idx="0">
                  <c:v>442</c:v>
                </c:pt>
                <c:pt idx="1">
                  <c:v>462</c:v>
                </c:pt>
                <c:pt idx="2">
                  <c:v>273</c:v>
                </c:pt>
                <c:pt idx="3">
                  <c:v>145</c:v>
                </c:pt>
                <c:pt idx="4">
                  <c:v>204</c:v>
                </c:pt>
                <c:pt idx="5">
                  <c:v>525</c:v>
                </c:pt>
                <c:pt idx="6">
                  <c:v>540</c:v>
                </c:pt>
                <c:pt idx="7">
                  <c:v>537</c:v>
                </c:pt>
                <c:pt idx="8">
                  <c:v>532</c:v>
                </c:pt>
                <c:pt idx="9">
                  <c:v>303</c:v>
                </c:pt>
                <c:pt idx="10">
                  <c:v>161</c:v>
                </c:pt>
                <c:pt idx="11">
                  <c:v>579</c:v>
                </c:pt>
                <c:pt idx="12">
                  <c:v>594</c:v>
                </c:pt>
                <c:pt idx="13">
                  <c:v>529</c:v>
                </c:pt>
                <c:pt idx="14">
                  <c:v>513</c:v>
                </c:pt>
                <c:pt idx="15">
                  <c:v>478</c:v>
                </c:pt>
                <c:pt idx="16">
                  <c:v>258</c:v>
                </c:pt>
                <c:pt idx="17">
                  <c:v>136</c:v>
                </c:pt>
                <c:pt idx="18">
                  <c:v>552</c:v>
                </c:pt>
                <c:pt idx="19">
                  <c:v>597</c:v>
                </c:pt>
                <c:pt idx="20">
                  <c:v>478</c:v>
                </c:pt>
                <c:pt idx="21">
                  <c:v>453</c:v>
                </c:pt>
                <c:pt idx="22">
                  <c:v>442</c:v>
                </c:pt>
                <c:pt idx="23">
                  <c:v>216</c:v>
                </c:pt>
                <c:pt idx="24">
                  <c:v>101</c:v>
                </c:pt>
                <c:pt idx="25">
                  <c:v>518</c:v>
                </c:pt>
                <c:pt idx="26">
                  <c:v>555</c:v>
                </c:pt>
                <c:pt idx="27">
                  <c:v>553</c:v>
                </c:pt>
                <c:pt idx="28">
                  <c:v>484</c:v>
                </c:pt>
                <c:pt idx="29">
                  <c:v>538</c:v>
                </c:pt>
                <c:pt idx="30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D3-4FD3-A69E-E0C04902C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5061616"/>
        <c:axId val="475051056"/>
      </c:barChart>
      <c:catAx>
        <c:axId val="475061616"/>
        <c:scaling>
          <c:orientation val="minMax"/>
        </c:scaling>
        <c:delete val="1"/>
        <c:axPos val="b"/>
        <c:numFmt formatCode="h:mm:ss" sourceLinked="1"/>
        <c:majorTickMark val="none"/>
        <c:minorTickMark val="none"/>
        <c:tickLblPos val="nextTo"/>
        <c:crossAx val="475051056"/>
        <c:crosses val="autoZero"/>
        <c:auto val="1"/>
        <c:lblAlgn val="ctr"/>
        <c:lblOffset val="100"/>
        <c:noMultiLvlLbl val="0"/>
      </c:catAx>
      <c:valAx>
        <c:axId val="4750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7506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sz="16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Volumen Total de Interacciones por Canal</a:t>
            </a:r>
            <a:endParaRPr lang="es-DO" sz="1600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Dashboard_CentroContacto!$A$2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  <a:sp3d/>
          </c:spPr>
          <c:invertIfNegative val="0"/>
          <c:val>
            <c:numRef>
              <c:f>Dashboard_CentroContacto!$B$2</c:f>
              <c:numCache>
                <c:formatCode>General</c:formatCode>
                <c:ptCount val="1"/>
                <c:pt idx="0">
                  <c:v>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345-41CD-AF10-0FDB97897041}"/>
            </c:ext>
          </c:extLst>
        </c:ser>
        <c:ser>
          <c:idx val="1"/>
          <c:order val="1"/>
          <c:tx>
            <c:strRef>
              <c:f>Dashboard_CentroContacto!$A$3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val>
            <c:numRef>
              <c:f>Dashboard_CentroContacto!$B$3</c:f>
              <c:numCache>
                <c:formatCode>General</c:formatCode>
                <c:ptCount val="1"/>
                <c:pt idx="0">
                  <c:v>13056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45-41CD-AF10-0FDB97897041}"/>
            </c:ext>
          </c:extLst>
        </c:ser>
        <c:ser>
          <c:idx val="2"/>
          <c:order val="2"/>
          <c:tx>
            <c:strRef>
              <c:f>Dashboard_CentroContacto!$A$4</c:f>
              <c:strCache>
                <c:ptCount val="1"/>
                <c:pt idx="0">
                  <c:v>Call Center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val>
            <c:numRef>
              <c:f>Dashboard_CentroContacto!$B$4</c:f>
              <c:numCache>
                <c:formatCode>General</c:formatCode>
                <c:ptCount val="1"/>
                <c:pt idx="0">
                  <c:v>21339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345-41CD-AF10-0FDB97897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1753775"/>
        <c:axId val="1021756655"/>
        <c:axId val="0"/>
      </c:bar3DChart>
      <c:catAx>
        <c:axId val="1021753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1756655"/>
        <c:crosses val="autoZero"/>
        <c:auto val="1"/>
        <c:lblAlgn val="ctr"/>
        <c:lblOffset val="100"/>
        <c:noMultiLvlLbl val="0"/>
      </c:catAx>
      <c:valAx>
        <c:axId val="1021756655"/>
        <c:scaling>
          <c:orientation val="minMax"/>
          <c:max val="23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02175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sz="16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Tiempo de Espera Promedio vs Tasa de Abandono por Canal</a:t>
            </a:r>
            <a:endParaRPr lang="en-US" sz="1600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Dashboard_CentroContacto!$A$11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Dashboard_CentroContacto!$B$10</c:f>
              <c:strCache>
                <c:ptCount val="1"/>
                <c:pt idx="0">
                  <c:v>Tiempo Espera Promedio</c:v>
                </c:pt>
              </c:strCache>
            </c:strRef>
          </c:cat>
          <c:val>
            <c:numRef>
              <c:f>Dashboard_CentroContacto!$B$11</c:f>
              <c:numCache>
                <c:formatCode>[h]:mm:ss</c:formatCode>
                <c:ptCount val="1"/>
                <c:pt idx="0">
                  <c:v>4.1972819593787333E-3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697B-412E-A33F-F4BFBAB73B79}"/>
            </c:ext>
          </c:extLst>
        </c:ser>
        <c:ser>
          <c:idx val="1"/>
          <c:order val="1"/>
          <c:tx>
            <c:strRef>
              <c:f>Dashboard_CentroContacto!$A$12</c:f>
              <c:strCache>
                <c:ptCount val="1"/>
                <c:pt idx="0">
                  <c:v>Web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Dashboard_CentroContacto!$B$10</c:f>
              <c:strCache>
                <c:ptCount val="1"/>
                <c:pt idx="0">
                  <c:v>Tiempo Espera Promedio</c:v>
                </c:pt>
              </c:strCache>
            </c:strRef>
          </c:cat>
          <c:val>
            <c:numRef>
              <c:f>Dashboard_CentroContacto!$B$12</c:f>
              <c:numCache>
                <c:formatCode>[h]:mm:ss</c:formatCode>
                <c:ptCount val="1"/>
                <c:pt idx="0">
                  <c:v>3.9407855436081251E-3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B-412E-A33F-F4BFBAB73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6895359"/>
        <c:axId val="836877119"/>
        <c:axId val="0"/>
      </c:bar3DChart>
      <c:bar3DChart>
        <c:barDir val="col"/>
        <c:grouping val="clustered"/>
        <c:varyColors val="0"/>
        <c:ser>
          <c:idx val="2"/>
          <c:order val="2"/>
          <c:tx>
            <c:strRef>
              <c:f>Dashboard_CentroContacto!$A$13</c:f>
              <c:strCache>
                <c:ptCount val="1"/>
                <c:pt idx="0">
                  <c:v>Call Center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Dashboard_CentroContacto!$B$10</c:f>
              <c:strCache>
                <c:ptCount val="1"/>
                <c:pt idx="0">
                  <c:v>Tiempo Espera Promedio</c:v>
                </c:pt>
              </c:strCache>
            </c:strRef>
          </c:cat>
          <c:val>
            <c:numRef>
              <c:f>Dashboard_CentroContacto!$B$13</c:f>
              <c:numCache>
                <c:formatCode>[h]:mm:ss</c:formatCode>
                <c:ptCount val="1"/>
                <c:pt idx="0">
                  <c:v>0.24271612903225803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2-697B-412E-A33F-F4BFBAB73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9499775"/>
        <c:axId val="859498815"/>
        <c:axId val="0"/>
      </c:bar3DChart>
      <c:catAx>
        <c:axId val="836895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6877119"/>
        <c:crosses val="autoZero"/>
        <c:auto val="1"/>
        <c:lblAlgn val="ctr"/>
        <c:lblOffset val="100"/>
        <c:noMultiLvlLbl val="0"/>
      </c:catAx>
      <c:valAx>
        <c:axId val="83687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36895359"/>
        <c:crosses val="autoZero"/>
        <c:crossBetween val="between"/>
      </c:valAx>
      <c:valAx>
        <c:axId val="859498815"/>
        <c:scaling>
          <c:orientation val="minMax"/>
        </c:scaling>
        <c:delete val="0"/>
        <c:axPos val="r"/>
        <c:numFmt formatCode="[h]:mm:ss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59499775"/>
        <c:crosses val="max"/>
        <c:crossBetween val="between"/>
      </c:valAx>
      <c:catAx>
        <c:axId val="859499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9498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sz="14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Cumplimiento de Meta por Canal de Atención</a:t>
            </a:r>
            <a:endParaRPr lang="es-DO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Dashboard_CentroContacto!$B$19</c:f>
              <c:strCache>
                <c:ptCount val="1"/>
                <c:pt idx="0">
                  <c:v>Valor 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Dashboard_CentroContacto!$A$20:$A$22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Call Center</c:v>
                </c:pt>
              </c:strCache>
            </c:strRef>
          </c:cat>
          <c:val>
            <c:numRef>
              <c:f>Dashboard_CentroContacto!$B$20:$B$22</c:f>
              <c:numCache>
                <c:formatCode>General</c:formatCode>
                <c:ptCount val="3"/>
                <c:pt idx="0">
                  <c:v>4.1972819593787333E-3</c:v>
                </c:pt>
                <c:pt idx="1">
                  <c:v>3.9407855436081251E-3</c:v>
                </c:pt>
                <c:pt idx="2">
                  <c:v>0.49680967741935478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9-4BE9-812D-1AB10213F85E}"/>
            </c:ext>
          </c:extLst>
        </c:ser>
        <c:ser>
          <c:idx val="1"/>
          <c:order val="1"/>
          <c:tx>
            <c:strRef>
              <c:f>Dashboard_CentroContacto!$C$19</c:f>
              <c:strCache>
                <c:ptCount val="1"/>
                <c:pt idx="0">
                  <c:v>Valor Meta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Dashboard_CentroContacto!$A$20:$A$22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Call Center</c:v>
                </c:pt>
              </c:strCache>
            </c:strRef>
          </c:cat>
          <c:val>
            <c:numRef>
              <c:f>Dashboard_CentroContacto!$C$20:$C$22</c:f>
              <c:numCache>
                <c:formatCode>General</c:formatCode>
                <c:ptCount val="3"/>
                <c:pt idx="0">
                  <c:v>1.0416666666666668E-2</c:v>
                </c:pt>
                <c:pt idx="1">
                  <c:v>1.525910991636798E-2</c:v>
                </c:pt>
                <c:pt idx="2">
                  <c:v>0.80000000000000038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09-4BE9-812D-1AB10213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9484895"/>
        <c:axId val="859489695"/>
        <c:axId val="0"/>
      </c:bar3DChart>
      <c:catAx>
        <c:axId val="8594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59489695"/>
        <c:crosses val="autoZero"/>
        <c:auto val="1"/>
        <c:lblAlgn val="ctr"/>
        <c:lblOffset val="100"/>
        <c:noMultiLvlLbl val="0"/>
      </c:catAx>
      <c:valAx>
        <c:axId val="8594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8594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sz="1600" b="1">
                <a:solidFill>
                  <a:schemeClr val="tx1"/>
                </a:solidFill>
              </a:rPr>
              <a:t>Total</a:t>
            </a:r>
            <a:r>
              <a:rPr lang="es-DO" sz="1600" b="1" baseline="0">
                <a:solidFill>
                  <a:schemeClr val="tx1"/>
                </a:solidFill>
              </a:rPr>
              <a:t> de Solicitudes aprobadas y Rechazadas en el Tiempo de Espera Promedio </a:t>
            </a:r>
            <a:endParaRPr lang="es-DO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(Metricas_Centrocontacto!$A$1:$B$1,Metricas_Centrocontacto!$D$1)</c:f>
              <c:strCache>
                <c:ptCount val="3"/>
                <c:pt idx="0">
                  <c:v>Total Solicitudes Aprobadas</c:v>
                </c:pt>
                <c:pt idx="1">
                  <c:v>Total Solicitudes Rechazadas</c:v>
                </c:pt>
                <c:pt idx="2">
                  <c:v>Tiempo de Espera Promedio (App)</c:v>
                </c:pt>
              </c:strCache>
            </c:strRef>
          </c:cat>
          <c:val>
            <c:numRef>
              <c:f>(Metricas_Centrocontacto!$A$2:$B$2,Metricas_Centrocontacto!$D$2)</c:f>
              <c:numCache>
                <c:formatCode>0.00</c:formatCode>
                <c:ptCount val="3"/>
                <c:pt idx="0">
                  <c:v>20.059999999999999</c:v>
                </c:pt>
                <c:pt idx="1">
                  <c:v>10.93</c:v>
                </c:pt>
                <c:pt idx="2" formatCode="0.00%;\-0.00%;0.00%">
                  <c:v>4.1972819593787333E-3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F-4253-A8FF-8200CC02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03937136"/>
        <c:axId val="506705072"/>
      </c:barChart>
      <c:catAx>
        <c:axId val="90393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6705072"/>
        <c:crosses val="autoZero"/>
        <c:auto val="1"/>
        <c:lblAlgn val="ctr"/>
        <c:lblOffset val="100"/>
        <c:noMultiLvlLbl val="0"/>
      </c:catAx>
      <c:valAx>
        <c:axId val="50670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039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1800" b="1" i="0" u="none" strike="noStrike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Top de Sucursales por volumen de atenciones (AT)</a:t>
            </a:r>
            <a:endParaRPr lang="es-DO" sz="1800" b="1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Resumen_Sucursales!$A$2:$A$65</c:f>
              <c:strCache>
                <c:ptCount val="64"/>
                <c:pt idx="0">
                  <c:v>AILA</c:v>
                </c:pt>
                <c:pt idx="1">
                  <c:v>Arroyo Hondo</c:v>
                </c:pt>
                <c:pt idx="2">
                  <c:v>Arroyo Hondo 2</c:v>
                </c:pt>
                <c:pt idx="3">
                  <c:v>Ave. Independencia</c:v>
                </c:pt>
                <c:pt idx="4">
                  <c:v>Azua</c:v>
                </c:pt>
                <c:pt idx="5">
                  <c:v>Bani</c:v>
                </c:pt>
                <c:pt idx="6">
                  <c:v>Bavaro</c:v>
                </c:pt>
                <c:pt idx="7">
                  <c:v>Bella Vista</c:v>
                </c:pt>
                <c:pt idx="8">
                  <c:v>Boca Chica</c:v>
                </c:pt>
                <c:pt idx="9">
                  <c:v>Carol Delgado</c:v>
                </c:pt>
                <c:pt idx="10">
                  <c:v>Carrefour</c:v>
                </c:pt>
                <c:pt idx="11">
                  <c:v>Carretera de Mendoza</c:v>
                </c:pt>
                <c:pt idx="12">
                  <c:v>Carretera Mella</c:v>
                </c:pt>
                <c:pt idx="13">
                  <c:v>Churchill</c:v>
                </c:pt>
                <c:pt idx="14">
                  <c:v>CLISID</c:v>
                </c:pt>
                <c:pt idx="15">
                  <c:v>Colina Centro</c:v>
                </c:pt>
                <c:pt idx="16">
                  <c:v>CRESA Santiago</c:v>
                </c:pt>
                <c:pt idx="17">
                  <c:v>Cresa SD</c:v>
                </c:pt>
                <c:pt idx="18">
                  <c:v>Cruz Jiminian</c:v>
                </c:pt>
                <c:pt idx="19">
                  <c:v>Esperilla</c:v>
                </c:pt>
                <c:pt idx="20">
                  <c:v>Galeria de Villa Mella</c:v>
                </c:pt>
                <c:pt idx="21">
                  <c:v>Herrera</c:v>
                </c:pt>
                <c:pt idx="22">
                  <c:v>Higuey</c:v>
                </c:pt>
                <c:pt idx="23">
                  <c:v>Jarabacoa</c:v>
                </c:pt>
                <c:pt idx="24">
                  <c:v>La Monumental</c:v>
                </c:pt>
                <c:pt idx="25">
                  <c:v>La Romana</c:v>
                </c:pt>
                <c:pt idx="26">
                  <c:v>La Romana 2</c:v>
                </c:pt>
                <c:pt idx="27">
                  <c:v>La Sirena Luperon</c:v>
                </c:pt>
                <c:pt idx="28">
                  <c:v>La Vega</c:v>
                </c:pt>
                <c:pt idx="29">
                  <c:v>Laboratorio Principal</c:v>
                </c:pt>
                <c:pt idx="30">
                  <c:v>Los Alcarrizos</c:v>
                </c:pt>
                <c:pt idx="31">
                  <c:v>Los Frailes</c:v>
                </c:pt>
                <c:pt idx="32">
                  <c:v>Los Prados</c:v>
                </c:pt>
                <c:pt idx="33">
                  <c:v>Los Proceres</c:v>
                </c:pt>
                <c:pt idx="34">
                  <c:v>Maria Auxiliadora</c:v>
                </c:pt>
                <c:pt idx="35">
                  <c:v>Medico Express</c:v>
                </c:pt>
                <c:pt idx="36">
                  <c:v>Megacentro</c:v>
                </c:pt>
                <c:pt idx="37">
                  <c:v>Metro</c:v>
                </c:pt>
                <c:pt idx="38">
                  <c:v>Mirador Norte</c:v>
                </c:pt>
                <c:pt idx="39">
                  <c:v>Moca</c:v>
                </c:pt>
                <c:pt idx="40">
                  <c:v>Naco</c:v>
                </c:pt>
                <c:pt idx="41">
                  <c:v>Nagua</c:v>
                </c:pt>
                <c:pt idx="42">
                  <c:v>Occidental Mall</c:v>
                </c:pt>
                <c:pt idx="43">
                  <c:v>Ozama</c:v>
                </c:pt>
                <c:pt idx="44">
                  <c:v>Piantini</c:v>
                </c:pt>
                <c:pt idx="45">
                  <c:v>PreNatal Care</c:v>
                </c:pt>
                <c:pt idx="46">
                  <c:v>Republica de Colombia</c:v>
                </c:pt>
                <c:pt idx="47">
                  <c:v>Romana Multiplaza</c:v>
                </c:pt>
                <c:pt idx="48">
                  <c:v>Sambil</c:v>
                </c:pt>
                <c:pt idx="49">
                  <c:v>San Cristobal</c:v>
                </c:pt>
                <c:pt idx="50">
                  <c:v>San Cristobal 2</c:v>
                </c:pt>
                <c:pt idx="51">
                  <c:v>San Cristobal La Sirena</c:v>
                </c:pt>
                <c:pt idx="52">
                  <c:v>San Francisco Macoris</c:v>
                </c:pt>
                <c:pt idx="53">
                  <c:v>San Isido Labrador</c:v>
                </c:pt>
                <c:pt idx="54">
                  <c:v>San Pedro de Macoris</c:v>
                </c:pt>
                <c:pt idx="55">
                  <c:v>San Pedro De Macoris 2</c:v>
                </c:pt>
                <c:pt idx="56">
                  <c:v>San Pedro El Prado II</c:v>
                </c:pt>
                <c:pt idx="57">
                  <c:v>San Vicente De Paul</c:v>
                </c:pt>
                <c:pt idx="58">
                  <c:v>Santiago 2</c:v>
                </c:pt>
                <c:pt idx="59">
                  <c:v>SUPERKIDS</c:v>
                </c:pt>
                <c:pt idx="60">
                  <c:v>Superkids Piantini</c:v>
                </c:pt>
                <c:pt idx="61">
                  <c:v>TM Cresa Herrera</c:v>
                </c:pt>
                <c:pt idx="62">
                  <c:v>UNPHU</c:v>
                </c:pt>
                <c:pt idx="63">
                  <c:v>Villa Mella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D0-4B30-947C-AD5F577860E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D0-4B30-947C-AD5F577860E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D0-4B30-947C-AD5F5778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D0-4B30-947C-AD5F577860E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D0-4B30-947C-AD5F577860E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D0-4B30-947C-AD5F577860E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FD0-4B30-947C-AD5F577860E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FD0-4B30-947C-AD5F577860E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FD0-4B30-947C-AD5F577860E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FD0-4B30-947C-AD5F577860E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FD0-4B30-947C-AD5F577860E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FD0-4B30-947C-AD5F577860E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FD0-4B30-947C-AD5F577860E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FD0-4B30-947C-AD5F577860E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FD0-4B30-947C-AD5F577860E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AFD0-4B30-947C-AD5F577860E4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AFD0-4B30-947C-AD5F577860E4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AFD0-4B30-947C-AD5F577860E4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FD0-4B30-947C-AD5F577860E4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FD0-4B30-947C-AD5F577860E4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FD0-4B30-947C-AD5F577860E4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FD0-4B30-947C-AD5F577860E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AFD0-4B30-947C-AD5F577860E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AFD0-4B30-947C-AD5F577860E4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AFD0-4B30-947C-AD5F577860E4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AFD0-4B30-947C-AD5F577860E4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FD0-4B30-947C-AD5F577860E4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AFD0-4B30-947C-AD5F577860E4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AFD0-4B30-947C-AD5F577860E4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AFD0-4B30-947C-AD5F577860E4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AFD0-4B30-947C-AD5F577860E4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AFD0-4B30-947C-AD5F577860E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AFD0-4B30-947C-AD5F577860E4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AFD0-4B30-947C-AD5F577860E4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AFD0-4B30-947C-AD5F577860E4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FD0-4B30-947C-AD5F577860E4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AFD0-4B30-947C-AD5F577860E4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AFD0-4B30-947C-AD5F577860E4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AFD0-4B30-947C-AD5F577860E4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AFD0-4B30-947C-AD5F577860E4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AFD0-4B30-947C-AD5F577860E4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AFD0-4B30-947C-AD5F577860E4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FD0-4B30-947C-AD5F577860E4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AFD0-4B30-947C-AD5F577860E4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AFD0-4B30-947C-AD5F577860E4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AFD0-4B30-947C-AD5F577860E4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AFD0-4B30-947C-AD5F577860E4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AFD0-4B30-947C-AD5F577860E4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AFD0-4B30-947C-AD5F577860E4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AFD0-4B30-947C-AD5F577860E4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AFD0-4B30-947C-AD5F577860E4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AFD0-4B30-947C-AD5F577860E4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AFD0-4B30-947C-AD5F577860E4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AFD0-4B30-947C-AD5F577860E4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AFD0-4B30-947C-AD5F577860E4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AFD0-4B30-947C-AD5F577860E4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AFD0-4B30-947C-AD5F577860E4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AFD0-4B30-947C-AD5F577860E4}"/>
              </c:ext>
            </c:extLst>
          </c:dPt>
          <c:dPt>
            <c:idx val="5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AFD0-4B30-947C-AD5F577860E4}"/>
              </c:ext>
            </c:extLst>
          </c:dPt>
          <c:dPt>
            <c:idx val="5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AFD0-4B30-947C-AD5F577860E4}"/>
              </c:ext>
            </c:extLst>
          </c:dPt>
          <c:dPt>
            <c:idx val="6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AFD0-4B30-947C-AD5F577860E4}"/>
              </c:ext>
            </c:extLst>
          </c:dPt>
          <c:dPt>
            <c:idx val="6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AFD0-4B30-947C-AD5F577860E4}"/>
              </c:ext>
            </c:extLst>
          </c:dPt>
          <c:dPt>
            <c:idx val="62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D-AFD0-4B30-947C-AD5F577860E4}"/>
              </c:ext>
            </c:extLst>
          </c:dPt>
          <c:dPt>
            <c:idx val="6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F-AFD0-4B30-947C-AD5F577860E4}"/>
              </c:ext>
            </c:extLst>
          </c:dPt>
          <c:dPt>
            <c:idx val="6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1-AFD0-4B30-947C-AD5F577860E4}"/>
              </c:ext>
            </c:extLst>
          </c:dPt>
          <c:dLbls>
            <c:delete val="1"/>
          </c:dLbls>
          <c:cat>
            <c:strRef>
              <c:f>Resumen_Sucursales!$A$2:$A$65</c:f>
              <c:strCache>
                <c:ptCount val="64"/>
                <c:pt idx="0">
                  <c:v>AILA</c:v>
                </c:pt>
                <c:pt idx="1">
                  <c:v>Arroyo Hondo</c:v>
                </c:pt>
                <c:pt idx="2">
                  <c:v>Arroyo Hondo 2</c:v>
                </c:pt>
                <c:pt idx="3">
                  <c:v>Ave. Independencia</c:v>
                </c:pt>
                <c:pt idx="4">
                  <c:v>Azua</c:v>
                </c:pt>
                <c:pt idx="5">
                  <c:v>Bani</c:v>
                </c:pt>
                <c:pt idx="6">
                  <c:v>Bavaro</c:v>
                </c:pt>
                <c:pt idx="7">
                  <c:v>Bella Vista</c:v>
                </c:pt>
                <c:pt idx="8">
                  <c:v>Boca Chica</c:v>
                </c:pt>
                <c:pt idx="9">
                  <c:v>Carol Delgado</c:v>
                </c:pt>
                <c:pt idx="10">
                  <c:v>Carrefour</c:v>
                </c:pt>
                <c:pt idx="11">
                  <c:v>Carretera de Mendoza</c:v>
                </c:pt>
                <c:pt idx="12">
                  <c:v>Carretera Mella</c:v>
                </c:pt>
                <c:pt idx="13">
                  <c:v>Churchill</c:v>
                </c:pt>
                <c:pt idx="14">
                  <c:v>CLISID</c:v>
                </c:pt>
                <c:pt idx="15">
                  <c:v>Colina Centro</c:v>
                </c:pt>
                <c:pt idx="16">
                  <c:v>CRESA Santiago</c:v>
                </c:pt>
                <c:pt idx="17">
                  <c:v>Cresa SD</c:v>
                </c:pt>
                <c:pt idx="18">
                  <c:v>Cruz Jiminian</c:v>
                </c:pt>
                <c:pt idx="19">
                  <c:v>Esperilla</c:v>
                </c:pt>
                <c:pt idx="20">
                  <c:v>Galeria de Villa Mella</c:v>
                </c:pt>
                <c:pt idx="21">
                  <c:v>Herrera</c:v>
                </c:pt>
                <c:pt idx="22">
                  <c:v>Higuey</c:v>
                </c:pt>
                <c:pt idx="23">
                  <c:v>Jarabacoa</c:v>
                </c:pt>
                <c:pt idx="24">
                  <c:v>La Monumental</c:v>
                </c:pt>
                <c:pt idx="25">
                  <c:v>La Romana</c:v>
                </c:pt>
                <c:pt idx="26">
                  <c:v>La Romana 2</c:v>
                </c:pt>
                <c:pt idx="27">
                  <c:v>La Sirena Luperon</c:v>
                </c:pt>
                <c:pt idx="28">
                  <c:v>La Vega</c:v>
                </c:pt>
                <c:pt idx="29">
                  <c:v>Laboratorio Principal</c:v>
                </c:pt>
                <c:pt idx="30">
                  <c:v>Los Alcarrizos</c:v>
                </c:pt>
                <c:pt idx="31">
                  <c:v>Los Frailes</c:v>
                </c:pt>
                <c:pt idx="32">
                  <c:v>Los Prados</c:v>
                </c:pt>
                <c:pt idx="33">
                  <c:v>Los Proceres</c:v>
                </c:pt>
                <c:pt idx="34">
                  <c:v>Maria Auxiliadora</c:v>
                </c:pt>
                <c:pt idx="35">
                  <c:v>Medico Express</c:v>
                </c:pt>
                <c:pt idx="36">
                  <c:v>Megacentro</c:v>
                </c:pt>
                <c:pt idx="37">
                  <c:v>Metro</c:v>
                </c:pt>
                <c:pt idx="38">
                  <c:v>Mirador Norte</c:v>
                </c:pt>
                <c:pt idx="39">
                  <c:v>Moca</c:v>
                </c:pt>
                <c:pt idx="40">
                  <c:v>Naco</c:v>
                </c:pt>
                <c:pt idx="41">
                  <c:v>Nagua</c:v>
                </c:pt>
                <c:pt idx="42">
                  <c:v>Occidental Mall</c:v>
                </c:pt>
                <c:pt idx="43">
                  <c:v>Ozama</c:v>
                </c:pt>
                <c:pt idx="44">
                  <c:v>Piantini</c:v>
                </c:pt>
                <c:pt idx="45">
                  <c:v>PreNatal Care</c:v>
                </c:pt>
                <c:pt idx="46">
                  <c:v>Republica de Colombia</c:v>
                </c:pt>
                <c:pt idx="47">
                  <c:v>Romana Multiplaza</c:v>
                </c:pt>
                <c:pt idx="48">
                  <c:v>Sambil</c:v>
                </c:pt>
                <c:pt idx="49">
                  <c:v>San Cristobal</c:v>
                </c:pt>
                <c:pt idx="50">
                  <c:v>San Cristobal 2</c:v>
                </c:pt>
                <c:pt idx="51">
                  <c:v>San Cristobal La Sirena</c:v>
                </c:pt>
                <c:pt idx="52">
                  <c:v>San Francisco Macoris</c:v>
                </c:pt>
                <c:pt idx="53">
                  <c:v>San Isido Labrador</c:v>
                </c:pt>
                <c:pt idx="54">
                  <c:v>San Pedro de Macoris</c:v>
                </c:pt>
                <c:pt idx="55">
                  <c:v>San Pedro De Macoris 2</c:v>
                </c:pt>
                <c:pt idx="56">
                  <c:v>San Pedro El Prado II</c:v>
                </c:pt>
                <c:pt idx="57">
                  <c:v>San Vicente De Paul</c:v>
                </c:pt>
                <c:pt idx="58">
                  <c:v>Santiago 2</c:v>
                </c:pt>
                <c:pt idx="59">
                  <c:v>SUPERKIDS</c:v>
                </c:pt>
                <c:pt idx="60">
                  <c:v>Superkids Piantini</c:v>
                </c:pt>
                <c:pt idx="61">
                  <c:v>TM Cresa Herrera</c:v>
                </c:pt>
                <c:pt idx="62">
                  <c:v>UNPHU</c:v>
                </c:pt>
                <c:pt idx="63">
                  <c:v>Villa Mella</c:v>
                </c:pt>
              </c:strCache>
            </c:strRef>
          </c:cat>
          <c:val>
            <c:numRef>
              <c:f>Resumen_Sucursales!$C$1:$C$65</c:f>
              <c:numCache>
                <c:formatCode>General</c:formatCode>
                <c:ptCount val="65"/>
                <c:pt idx="0">
                  <c:v>0</c:v>
                </c:pt>
                <c:pt idx="1">
                  <c:v>929</c:v>
                </c:pt>
                <c:pt idx="2">
                  <c:v>2021</c:v>
                </c:pt>
                <c:pt idx="3">
                  <c:v>1786</c:v>
                </c:pt>
                <c:pt idx="4">
                  <c:v>8777</c:v>
                </c:pt>
                <c:pt idx="5">
                  <c:v>6585</c:v>
                </c:pt>
                <c:pt idx="6">
                  <c:v>4516</c:v>
                </c:pt>
                <c:pt idx="7">
                  <c:v>3582</c:v>
                </c:pt>
                <c:pt idx="8">
                  <c:v>3104</c:v>
                </c:pt>
                <c:pt idx="9">
                  <c:v>10494</c:v>
                </c:pt>
                <c:pt idx="10">
                  <c:v>697</c:v>
                </c:pt>
                <c:pt idx="11">
                  <c:v>8558</c:v>
                </c:pt>
                <c:pt idx="12">
                  <c:v>3605</c:v>
                </c:pt>
                <c:pt idx="13">
                  <c:v>11215</c:v>
                </c:pt>
                <c:pt idx="14">
                  <c:v>1683</c:v>
                </c:pt>
                <c:pt idx="15">
                  <c:v>792</c:v>
                </c:pt>
                <c:pt idx="16">
                  <c:v>7854</c:v>
                </c:pt>
                <c:pt idx="17">
                  <c:v>3341</c:v>
                </c:pt>
                <c:pt idx="18">
                  <c:v>989</c:v>
                </c:pt>
                <c:pt idx="19">
                  <c:v>10333</c:v>
                </c:pt>
                <c:pt idx="20">
                  <c:v>3125</c:v>
                </c:pt>
                <c:pt idx="21">
                  <c:v>4350</c:v>
                </c:pt>
                <c:pt idx="22">
                  <c:v>3052</c:v>
                </c:pt>
                <c:pt idx="23">
                  <c:v>4994</c:v>
                </c:pt>
                <c:pt idx="24">
                  <c:v>1386</c:v>
                </c:pt>
                <c:pt idx="25">
                  <c:v>4294</c:v>
                </c:pt>
                <c:pt idx="26">
                  <c:v>2627</c:v>
                </c:pt>
                <c:pt idx="27">
                  <c:v>6888</c:v>
                </c:pt>
                <c:pt idx="28">
                  <c:v>4546</c:v>
                </c:pt>
                <c:pt idx="29">
                  <c:v>6684</c:v>
                </c:pt>
                <c:pt idx="30">
                  <c:v>11997</c:v>
                </c:pt>
                <c:pt idx="31">
                  <c:v>12542</c:v>
                </c:pt>
                <c:pt idx="32">
                  <c:v>6886</c:v>
                </c:pt>
                <c:pt idx="33">
                  <c:v>5379</c:v>
                </c:pt>
                <c:pt idx="34">
                  <c:v>4634</c:v>
                </c:pt>
                <c:pt idx="35">
                  <c:v>8373</c:v>
                </c:pt>
                <c:pt idx="36">
                  <c:v>2785</c:v>
                </c:pt>
                <c:pt idx="37">
                  <c:v>11801</c:v>
                </c:pt>
                <c:pt idx="38">
                  <c:v>1808</c:v>
                </c:pt>
                <c:pt idx="39">
                  <c:v>5380</c:v>
                </c:pt>
                <c:pt idx="40">
                  <c:v>4714</c:v>
                </c:pt>
                <c:pt idx="41">
                  <c:v>2856</c:v>
                </c:pt>
                <c:pt idx="42">
                  <c:v>3028</c:v>
                </c:pt>
                <c:pt idx="43">
                  <c:v>8528</c:v>
                </c:pt>
                <c:pt idx="44">
                  <c:v>9566</c:v>
                </c:pt>
                <c:pt idx="45">
                  <c:v>4237</c:v>
                </c:pt>
                <c:pt idx="46">
                  <c:v>1332</c:v>
                </c:pt>
                <c:pt idx="47">
                  <c:v>1381</c:v>
                </c:pt>
                <c:pt idx="48">
                  <c:v>7701</c:v>
                </c:pt>
                <c:pt idx="49">
                  <c:v>5329</c:v>
                </c:pt>
                <c:pt idx="50">
                  <c:v>8621</c:v>
                </c:pt>
                <c:pt idx="51">
                  <c:v>2428</c:v>
                </c:pt>
                <c:pt idx="52">
                  <c:v>3893</c:v>
                </c:pt>
                <c:pt idx="53">
                  <c:v>2379</c:v>
                </c:pt>
                <c:pt idx="54">
                  <c:v>5686</c:v>
                </c:pt>
                <c:pt idx="55">
                  <c:v>1818</c:v>
                </c:pt>
                <c:pt idx="56">
                  <c:v>12505</c:v>
                </c:pt>
                <c:pt idx="57">
                  <c:v>6313</c:v>
                </c:pt>
                <c:pt idx="58">
                  <c:v>5641</c:v>
                </c:pt>
                <c:pt idx="59">
                  <c:v>4869</c:v>
                </c:pt>
                <c:pt idx="60">
                  <c:v>465</c:v>
                </c:pt>
                <c:pt idx="61">
                  <c:v>91</c:v>
                </c:pt>
                <c:pt idx="62">
                  <c:v>736</c:v>
                </c:pt>
                <c:pt idx="63">
                  <c:v>404</c:v>
                </c:pt>
                <c:pt idx="64">
                  <c:v>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92-4A1E-9633-ECFAA967A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0990560"/>
        <c:axId val="480989120"/>
      </c:barChart>
      <c:catAx>
        <c:axId val="480990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0989120"/>
        <c:crosses val="autoZero"/>
        <c:auto val="1"/>
        <c:lblAlgn val="ctr"/>
        <c:lblOffset val="100"/>
        <c:noMultiLvlLbl val="0"/>
      </c:catAx>
      <c:valAx>
        <c:axId val="480989120"/>
        <c:scaling>
          <c:orientation val="minMax"/>
          <c:max val="13000"/>
          <c:min val="10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8099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TE vs. 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Resumen_Sucursales!$A$1:$A$65</c:f>
              <c:strCache>
                <c:ptCount val="65"/>
                <c:pt idx="0">
                  <c:v>Sucursal</c:v>
                </c:pt>
                <c:pt idx="1">
                  <c:v>AILA</c:v>
                </c:pt>
                <c:pt idx="2">
                  <c:v>Arroyo Hondo</c:v>
                </c:pt>
                <c:pt idx="3">
                  <c:v>Arroyo Hondo 2</c:v>
                </c:pt>
                <c:pt idx="4">
                  <c:v>Ave. Independencia</c:v>
                </c:pt>
                <c:pt idx="5">
                  <c:v>Azua</c:v>
                </c:pt>
                <c:pt idx="6">
                  <c:v>Bani</c:v>
                </c:pt>
                <c:pt idx="7">
                  <c:v>Bavaro</c:v>
                </c:pt>
                <c:pt idx="8">
                  <c:v>Bella Vista</c:v>
                </c:pt>
                <c:pt idx="9">
                  <c:v>Boca Chica</c:v>
                </c:pt>
                <c:pt idx="10">
                  <c:v>Carol Delgado</c:v>
                </c:pt>
                <c:pt idx="11">
                  <c:v>Carrefour</c:v>
                </c:pt>
                <c:pt idx="12">
                  <c:v>Carretera de Mendoza</c:v>
                </c:pt>
                <c:pt idx="13">
                  <c:v>Carretera Mella</c:v>
                </c:pt>
                <c:pt idx="14">
                  <c:v>Churchill</c:v>
                </c:pt>
                <c:pt idx="15">
                  <c:v>CLISID</c:v>
                </c:pt>
                <c:pt idx="16">
                  <c:v>Colina Centro</c:v>
                </c:pt>
                <c:pt idx="17">
                  <c:v>CRESA Santiago</c:v>
                </c:pt>
                <c:pt idx="18">
                  <c:v>Cresa SD</c:v>
                </c:pt>
                <c:pt idx="19">
                  <c:v>Cruz Jiminian</c:v>
                </c:pt>
                <c:pt idx="20">
                  <c:v>Esperilla</c:v>
                </c:pt>
                <c:pt idx="21">
                  <c:v>Galeria de Villa Mella</c:v>
                </c:pt>
                <c:pt idx="22">
                  <c:v>Herrera</c:v>
                </c:pt>
                <c:pt idx="23">
                  <c:v>Higuey</c:v>
                </c:pt>
                <c:pt idx="24">
                  <c:v>Jarabacoa</c:v>
                </c:pt>
                <c:pt idx="25">
                  <c:v>La Monumental</c:v>
                </c:pt>
                <c:pt idx="26">
                  <c:v>La Romana</c:v>
                </c:pt>
                <c:pt idx="27">
                  <c:v>La Romana 2</c:v>
                </c:pt>
                <c:pt idx="28">
                  <c:v>La Sirena Luperon</c:v>
                </c:pt>
                <c:pt idx="29">
                  <c:v>La Vega</c:v>
                </c:pt>
                <c:pt idx="30">
                  <c:v>Laboratorio Principal</c:v>
                </c:pt>
                <c:pt idx="31">
                  <c:v>Los Alcarrizos</c:v>
                </c:pt>
                <c:pt idx="32">
                  <c:v>Los Frailes</c:v>
                </c:pt>
                <c:pt idx="33">
                  <c:v>Los Prados</c:v>
                </c:pt>
                <c:pt idx="34">
                  <c:v>Los Proceres</c:v>
                </c:pt>
                <c:pt idx="35">
                  <c:v>Maria Auxiliadora</c:v>
                </c:pt>
                <c:pt idx="36">
                  <c:v>Medico Express</c:v>
                </c:pt>
                <c:pt idx="37">
                  <c:v>Megacentro</c:v>
                </c:pt>
                <c:pt idx="38">
                  <c:v>Metro</c:v>
                </c:pt>
                <c:pt idx="39">
                  <c:v>Mirador Norte</c:v>
                </c:pt>
                <c:pt idx="40">
                  <c:v>Moca</c:v>
                </c:pt>
                <c:pt idx="41">
                  <c:v>Naco</c:v>
                </c:pt>
                <c:pt idx="42">
                  <c:v>Nagua</c:v>
                </c:pt>
                <c:pt idx="43">
                  <c:v>Occidental Mall</c:v>
                </c:pt>
                <c:pt idx="44">
                  <c:v>Ozama</c:v>
                </c:pt>
                <c:pt idx="45">
                  <c:v>Piantini</c:v>
                </c:pt>
                <c:pt idx="46">
                  <c:v>PreNatal Care</c:v>
                </c:pt>
                <c:pt idx="47">
                  <c:v>Republica de Colombia</c:v>
                </c:pt>
                <c:pt idx="48">
                  <c:v>Romana Multiplaza</c:v>
                </c:pt>
                <c:pt idx="49">
                  <c:v>Sambil</c:v>
                </c:pt>
                <c:pt idx="50">
                  <c:v>San Cristobal</c:v>
                </c:pt>
                <c:pt idx="51">
                  <c:v>San Cristobal 2</c:v>
                </c:pt>
                <c:pt idx="52">
                  <c:v>San Cristobal La Sirena</c:v>
                </c:pt>
                <c:pt idx="53">
                  <c:v>San Francisco Macoris</c:v>
                </c:pt>
                <c:pt idx="54">
                  <c:v>San Isido Labrador</c:v>
                </c:pt>
                <c:pt idx="55">
                  <c:v>San Pedro de Macoris</c:v>
                </c:pt>
                <c:pt idx="56">
                  <c:v>San Pedro De Macoris 2</c:v>
                </c:pt>
                <c:pt idx="57">
                  <c:v>San Pedro El Prado II</c:v>
                </c:pt>
                <c:pt idx="58">
                  <c:v>San Vicente De Paul</c:v>
                </c:pt>
                <c:pt idx="59">
                  <c:v>Santiago 2</c:v>
                </c:pt>
                <c:pt idx="60">
                  <c:v>SUPERKIDS</c:v>
                </c:pt>
                <c:pt idx="61">
                  <c:v>Superkids Piantini</c:v>
                </c:pt>
                <c:pt idx="62">
                  <c:v>TM Cresa Herrera</c:v>
                </c:pt>
                <c:pt idx="63">
                  <c:v>UNPHU</c:v>
                </c:pt>
                <c:pt idx="64">
                  <c:v>Villa Mella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Resumen_Sucursales!$C$1</c:f>
              <c:strCache>
                <c:ptCount val="1"/>
                <c:pt idx="0">
                  <c:v>Total AT</c:v>
                </c:pt>
              </c:strCache>
            </c:strRef>
          </c:xVal>
          <c:yVal>
            <c:numRef>
              <c:f>Resumen_Sucursales!$F$1:$F$65</c:f>
              <c:numCache>
                <c:formatCode>0.00%;\-0.00%;0.00%</c:formatCode>
                <c:ptCount val="65"/>
                <c:pt idx="0">
                  <c:v>0</c:v>
                </c:pt>
                <c:pt idx="1">
                  <c:v>6.4814814814814813E-3</c:v>
                </c:pt>
                <c:pt idx="2">
                  <c:v>4.1319444444444442E-3</c:v>
                </c:pt>
                <c:pt idx="3">
                  <c:v>4.1319444444444442E-3</c:v>
                </c:pt>
                <c:pt idx="4">
                  <c:v>1.1493055555555555E-2</c:v>
                </c:pt>
                <c:pt idx="5">
                  <c:v>6.0069444444444441E-3</c:v>
                </c:pt>
                <c:pt idx="6">
                  <c:v>5.6828703703703702E-3</c:v>
                </c:pt>
                <c:pt idx="7">
                  <c:v>1.1724537037037037E-2</c:v>
                </c:pt>
                <c:pt idx="8">
                  <c:v>4.6759259259259263E-3</c:v>
                </c:pt>
                <c:pt idx="9">
                  <c:v>6.2500000000000003E-3</c:v>
                </c:pt>
                <c:pt idx="10">
                  <c:v>3.8310185185185183E-3</c:v>
                </c:pt>
                <c:pt idx="11">
                  <c:v>6.3541666666666668E-3</c:v>
                </c:pt>
                <c:pt idx="12">
                  <c:v>6.9560185185185185E-3</c:v>
                </c:pt>
                <c:pt idx="13">
                  <c:v>9.6412037037037039E-3</c:v>
                </c:pt>
                <c:pt idx="14">
                  <c:v>1.9097222222222222E-3</c:v>
                </c:pt>
                <c:pt idx="15">
                  <c:v>6.2384259259259259E-3</c:v>
                </c:pt>
                <c:pt idx="16">
                  <c:v>4.6874999999999998E-3</c:v>
                </c:pt>
                <c:pt idx="17">
                  <c:v>3.9930555555555552E-3</c:v>
                </c:pt>
                <c:pt idx="18">
                  <c:v>1.275462962962963E-2</c:v>
                </c:pt>
                <c:pt idx="19">
                  <c:v>9.4212962962962957E-3</c:v>
                </c:pt>
                <c:pt idx="20">
                  <c:v>3.8657407407407408E-3</c:v>
                </c:pt>
                <c:pt idx="21">
                  <c:v>5.7754629629629631E-3</c:v>
                </c:pt>
                <c:pt idx="22">
                  <c:v>9.6064814814814815E-3</c:v>
                </c:pt>
                <c:pt idx="23">
                  <c:v>1.0393518518518519E-2</c:v>
                </c:pt>
                <c:pt idx="24">
                  <c:v>1.724537037037037E-3</c:v>
                </c:pt>
                <c:pt idx="25">
                  <c:v>3.8541666666666668E-3</c:v>
                </c:pt>
                <c:pt idx="26">
                  <c:v>6.851851851851852E-3</c:v>
                </c:pt>
                <c:pt idx="27">
                  <c:v>4.2939814814814811E-3</c:v>
                </c:pt>
                <c:pt idx="28">
                  <c:v>4.8726851851851848E-3</c:v>
                </c:pt>
                <c:pt idx="29">
                  <c:v>7.4305555555555557E-3</c:v>
                </c:pt>
                <c:pt idx="30">
                  <c:v>7.8935185185185185E-3</c:v>
                </c:pt>
                <c:pt idx="31">
                  <c:v>1.0925925925925926E-2</c:v>
                </c:pt>
                <c:pt idx="32">
                  <c:v>5.7291666666666663E-3</c:v>
                </c:pt>
                <c:pt idx="33">
                  <c:v>4.5486111111111109E-3</c:v>
                </c:pt>
                <c:pt idx="34">
                  <c:v>9.0046296296296298E-3</c:v>
                </c:pt>
                <c:pt idx="35">
                  <c:v>8.067129629629629E-3</c:v>
                </c:pt>
                <c:pt idx="36">
                  <c:v>2.9513888888888888E-3</c:v>
                </c:pt>
                <c:pt idx="37">
                  <c:v>1.019675925925926E-2</c:v>
                </c:pt>
                <c:pt idx="38">
                  <c:v>5.6944444444444447E-3</c:v>
                </c:pt>
                <c:pt idx="39">
                  <c:v>4.8263888888888887E-3</c:v>
                </c:pt>
                <c:pt idx="40">
                  <c:v>5.1967592592592595E-3</c:v>
                </c:pt>
                <c:pt idx="41">
                  <c:v>5.6134259259259262E-3</c:v>
                </c:pt>
                <c:pt idx="42">
                  <c:v>1.7824074074074075E-3</c:v>
                </c:pt>
                <c:pt idx="43">
                  <c:v>1.1435185185185185E-2</c:v>
                </c:pt>
                <c:pt idx="44">
                  <c:v>8.0902777777777778E-3</c:v>
                </c:pt>
                <c:pt idx="45">
                  <c:v>3.1828703703703702E-3</c:v>
                </c:pt>
                <c:pt idx="46">
                  <c:v>1.0578703703703703E-2</c:v>
                </c:pt>
                <c:pt idx="47">
                  <c:v>2.5347222222222221E-3</c:v>
                </c:pt>
                <c:pt idx="48">
                  <c:v>1.4340277777777778E-2</c:v>
                </c:pt>
                <c:pt idx="49">
                  <c:v>4.8495370370370368E-3</c:v>
                </c:pt>
                <c:pt idx="50">
                  <c:v>8.4606481481481477E-3</c:v>
                </c:pt>
                <c:pt idx="51">
                  <c:v>7.4189814814814813E-3</c:v>
                </c:pt>
                <c:pt idx="52">
                  <c:v>4.8958333333333336E-3</c:v>
                </c:pt>
                <c:pt idx="53">
                  <c:v>5.5671296296296293E-3</c:v>
                </c:pt>
                <c:pt idx="54">
                  <c:v>5.9490740740740745E-3</c:v>
                </c:pt>
                <c:pt idx="55">
                  <c:v>4.9768518518518521E-3</c:v>
                </c:pt>
                <c:pt idx="56">
                  <c:v>1.6354166666666666E-2</c:v>
                </c:pt>
                <c:pt idx="57">
                  <c:v>9.2476851851851852E-3</c:v>
                </c:pt>
                <c:pt idx="58">
                  <c:v>7.4537037037037037E-3</c:v>
                </c:pt>
                <c:pt idx="59">
                  <c:v>8.773148148148148E-3</c:v>
                </c:pt>
                <c:pt idx="60">
                  <c:v>8.0787037037037043E-3</c:v>
                </c:pt>
                <c:pt idx="61">
                  <c:v>2.0613425925925927E-2</c:v>
                </c:pt>
                <c:pt idx="62">
                  <c:v>6.7592592592592591E-3</c:v>
                </c:pt>
                <c:pt idx="63">
                  <c:v>4.4791666666666669E-3</c:v>
                </c:pt>
                <c:pt idx="64">
                  <c:v>7.9166666666666673E-3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10-4F05-8D2F-76FBE95A58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Resumen_Sucursales!$F$2:$F$65</c:f>
              <c:numCache>
                <c:formatCode>0.00%;\-0.00%;0.00%</c:formatCode>
                <c:ptCount val="64"/>
                <c:pt idx="0">
                  <c:v>6.4814814814814813E-3</c:v>
                </c:pt>
                <c:pt idx="1">
                  <c:v>4.1319444444444442E-3</c:v>
                </c:pt>
                <c:pt idx="2">
                  <c:v>4.1319444444444442E-3</c:v>
                </c:pt>
                <c:pt idx="3">
                  <c:v>1.1493055555555555E-2</c:v>
                </c:pt>
                <c:pt idx="4">
                  <c:v>6.0069444444444441E-3</c:v>
                </c:pt>
                <c:pt idx="5">
                  <c:v>5.6828703703703702E-3</c:v>
                </c:pt>
                <c:pt idx="6">
                  <c:v>1.1724537037037037E-2</c:v>
                </c:pt>
                <c:pt idx="7">
                  <c:v>4.6759259259259263E-3</c:v>
                </c:pt>
                <c:pt idx="8">
                  <c:v>6.2500000000000003E-3</c:v>
                </c:pt>
                <c:pt idx="9">
                  <c:v>3.8310185185185183E-3</c:v>
                </c:pt>
                <c:pt idx="10">
                  <c:v>6.3541666666666668E-3</c:v>
                </c:pt>
                <c:pt idx="11">
                  <c:v>6.9560185185185185E-3</c:v>
                </c:pt>
                <c:pt idx="12">
                  <c:v>9.6412037037037039E-3</c:v>
                </c:pt>
                <c:pt idx="13">
                  <c:v>1.9097222222222222E-3</c:v>
                </c:pt>
                <c:pt idx="14">
                  <c:v>6.2384259259259259E-3</c:v>
                </c:pt>
                <c:pt idx="15">
                  <c:v>4.6874999999999998E-3</c:v>
                </c:pt>
                <c:pt idx="16">
                  <c:v>3.9930555555555552E-3</c:v>
                </c:pt>
                <c:pt idx="17">
                  <c:v>1.275462962962963E-2</c:v>
                </c:pt>
                <c:pt idx="18">
                  <c:v>9.4212962962962957E-3</c:v>
                </c:pt>
                <c:pt idx="19">
                  <c:v>3.8657407407407408E-3</c:v>
                </c:pt>
                <c:pt idx="20">
                  <c:v>5.7754629629629631E-3</c:v>
                </c:pt>
                <c:pt idx="21">
                  <c:v>9.6064814814814815E-3</c:v>
                </c:pt>
                <c:pt idx="22">
                  <c:v>1.0393518518518519E-2</c:v>
                </c:pt>
                <c:pt idx="23">
                  <c:v>1.724537037037037E-3</c:v>
                </c:pt>
                <c:pt idx="24">
                  <c:v>3.8541666666666668E-3</c:v>
                </c:pt>
                <c:pt idx="25">
                  <c:v>6.851851851851852E-3</c:v>
                </c:pt>
                <c:pt idx="26">
                  <c:v>4.2939814814814811E-3</c:v>
                </c:pt>
                <c:pt idx="27">
                  <c:v>4.8726851851851848E-3</c:v>
                </c:pt>
                <c:pt idx="28">
                  <c:v>7.4305555555555557E-3</c:v>
                </c:pt>
                <c:pt idx="29">
                  <c:v>7.8935185185185185E-3</c:v>
                </c:pt>
                <c:pt idx="30">
                  <c:v>1.0925925925925926E-2</c:v>
                </c:pt>
                <c:pt idx="31">
                  <c:v>5.7291666666666663E-3</c:v>
                </c:pt>
                <c:pt idx="32">
                  <c:v>4.5486111111111109E-3</c:v>
                </c:pt>
                <c:pt idx="33">
                  <c:v>9.0046296296296298E-3</c:v>
                </c:pt>
                <c:pt idx="34">
                  <c:v>8.067129629629629E-3</c:v>
                </c:pt>
                <c:pt idx="35">
                  <c:v>2.9513888888888888E-3</c:v>
                </c:pt>
                <c:pt idx="36">
                  <c:v>1.019675925925926E-2</c:v>
                </c:pt>
                <c:pt idx="37">
                  <c:v>5.6944444444444447E-3</c:v>
                </c:pt>
                <c:pt idx="38">
                  <c:v>4.8263888888888887E-3</c:v>
                </c:pt>
                <c:pt idx="39">
                  <c:v>5.1967592592592595E-3</c:v>
                </c:pt>
                <c:pt idx="40">
                  <c:v>5.6134259259259262E-3</c:v>
                </c:pt>
                <c:pt idx="41">
                  <c:v>1.7824074074074075E-3</c:v>
                </c:pt>
                <c:pt idx="42">
                  <c:v>1.1435185185185185E-2</c:v>
                </c:pt>
                <c:pt idx="43">
                  <c:v>8.0902777777777778E-3</c:v>
                </c:pt>
                <c:pt idx="44">
                  <c:v>3.1828703703703702E-3</c:v>
                </c:pt>
                <c:pt idx="45">
                  <c:v>1.0578703703703703E-2</c:v>
                </c:pt>
                <c:pt idx="46">
                  <c:v>2.5347222222222221E-3</c:v>
                </c:pt>
                <c:pt idx="47">
                  <c:v>1.4340277777777778E-2</c:v>
                </c:pt>
                <c:pt idx="48">
                  <c:v>4.8495370370370368E-3</c:v>
                </c:pt>
                <c:pt idx="49">
                  <c:v>8.4606481481481477E-3</c:v>
                </c:pt>
                <c:pt idx="50">
                  <c:v>7.4189814814814813E-3</c:v>
                </c:pt>
                <c:pt idx="51">
                  <c:v>4.8958333333333336E-3</c:v>
                </c:pt>
                <c:pt idx="52">
                  <c:v>5.5671296296296293E-3</c:v>
                </c:pt>
                <c:pt idx="53">
                  <c:v>5.9490740740740745E-3</c:v>
                </c:pt>
                <c:pt idx="54">
                  <c:v>4.9768518518518521E-3</c:v>
                </c:pt>
                <c:pt idx="55">
                  <c:v>1.6354166666666666E-2</c:v>
                </c:pt>
                <c:pt idx="56">
                  <c:v>9.2476851851851852E-3</c:v>
                </c:pt>
                <c:pt idx="57">
                  <c:v>7.4537037037037037E-3</c:v>
                </c:pt>
                <c:pt idx="58">
                  <c:v>8.773148148148148E-3</c:v>
                </c:pt>
                <c:pt idx="59">
                  <c:v>8.0787037037037043E-3</c:v>
                </c:pt>
                <c:pt idx="60">
                  <c:v>2.0613425925925927E-2</c:v>
                </c:pt>
                <c:pt idx="61">
                  <c:v>6.7592592592592591E-3</c:v>
                </c:pt>
                <c:pt idx="62">
                  <c:v>4.4791666666666669E-3</c:v>
                </c:pt>
                <c:pt idx="63">
                  <c:v>7.9166666666666673E-3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10-4F05-8D2F-76FBE95A5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571360"/>
        <c:axId val="1785571840"/>
      </c:scatterChart>
      <c:valAx>
        <c:axId val="178557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85571840"/>
        <c:crosses val="autoZero"/>
        <c:crossBetween val="midCat"/>
      </c:valAx>
      <c:valAx>
        <c:axId val="17855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8557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DO"/>
              <a:t>Top 10 - Sucursales por volumen de atenciones (AT)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>
        <c:manualLayout>
          <c:layoutTarget val="inner"/>
          <c:xMode val="edge"/>
          <c:yMode val="edge"/>
          <c:x val="7.0702588340159203E-2"/>
          <c:y val="0.14432827416450061"/>
          <c:w val="0.90864013771910279"/>
          <c:h val="0.7259498415247834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Top10_Sucursales!$B$1</c:f>
              <c:strCache>
                <c:ptCount val="1"/>
                <c:pt idx="0">
                  <c:v>Total AT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AB-4C30-85D8-53B209A1848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AB-4C30-85D8-53B209A18480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AB-4C30-85D8-53B209A18480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AB-4C30-85D8-53B209A18480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8AB-4C30-85D8-53B209A18480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8AB-4C30-85D8-53B209A18480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8AB-4C30-85D8-53B209A18480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8AB-4C30-85D8-53B209A18480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8AB-4C30-85D8-53B209A18480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8AB-4C30-85D8-53B209A18480}"/>
              </c:ext>
            </c:extLst>
          </c:dPt>
          <c:cat>
            <c:strRef>
              <c:f>Top10_Sucursales!$A$2:$A$11</c:f>
              <c:strCache>
                <c:ptCount val="10"/>
                <c:pt idx="0">
                  <c:v>Los Alcarrizos</c:v>
                </c:pt>
                <c:pt idx="1">
                  <c:v>San Pedro De Macoris 2</c:v>
                </c:pt>
                <c:pt idx="2">
                  <c:v>Laboratorio Principal</c:v>
                </c:pt>
                <c:pt idx="3">
                  <c:v>Megacentro</c:v>
                </c:pt>
                <c:pt idx="4">
                  <c:v>Carretera Mella</c:v>
                </c:pt>
                <c:pt idx="5">
                  <c:v>Boca Chica</c:v>
                </c:pt>
                <c:pt idx="6">
                  <c:v>Cruz Jiminian</c:v>
                </c:pt>
                <c:pt idx="7">
                  <c:v>Villa Mella</c:v>
                </c:pt>
                <c:pt idx="8">
                  <c:v>Ozama</c:v>
                </c:pt>
                <c:pt idx="9">
                  <c:v>Ave. Independencia</c:v>
                </c:pt>
              </c:strCache>
            </c:strRef>
          </c:cat>
          <c:val>
            <c:numRef>
              <c:f>Top10_Sucursales!$B$2:$B$11</c:f>
              <c:numCache>
                <c:formatCode>General</c:formatCode>
                <c:ptCount val="10"/>
                <c:pt idx="0">
                  <c:v>12542</c:v>
                </c:pt>
                <c:pt idx="1">
                  <c:v>12505</c:v>
                </c:pt>
                <c:pt idx="2">
                  <c:v>11997</c:v>
                </c:pt>
                <c:pt idx="3">
                  <c:v>11801</c:v>
                </c:pt>
                <c:pt idx="4">
                  <c:v>11215</c:v>
                </c:pt>
                <c:pt idx="5">
                  <c:v>10494</c:v>
                </c:pt>
                <c:pt idx="6">
                  <c:v>10333</c:v>
                </c:pt>
                <c:pt idx="7">
                  <c:v>9993</c:v>
                </c:pt>
                <c:pt idx="8">
                  <c:v>9566</c:v>
                </c:pt>
                <c:pt idx="9">
                  <c:v>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6-492E-A3AC-DDAC6BA10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7719520"/>
        <c:axId val="687720000"/>
      </c:barChart>
      <c:catAx>
        <c:axId val="687719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7720000"/>
        <c:crosses val="autoZero"/>
        <c:auto val="1"/>
        <c:lblAlgn val="ctr"/>
        <c:lblOffset val="100"/>
        <c:noMultiLvlLbl val="0"/>
      </c:catAx>
      <c:valAx>
        <c:axId val="687720000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6877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62169936465207"/>
          <c:y val="0.8411113698246081"/>
          <c:w val="0.84733860525102878"/>
          <c:h val="0.1362577990239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DO" sz="1800"/>
              <a:t>Top 10 - Promedio Tiempo de Espera (TE)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Top10_Sucursales!$B$1</c:f>
              <c:strCache>
                <c:ptCount val="1"/>
                <c:pt idx="0">
                  <c:v>Total AT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FF-455C-ADBB-3A65F44F4382}"/>
              </c:ext>
            </c:extLst>
          </c:dPt>
          <c:cat>
            <c:strRef>
              <c:f>Top10_Sucursales!$A$2:$A$11</c:f>
              <c:strCache>
                <c:ptCount val="10"/>
                <c:pt idx="0">
                  <c:v>Los Alcarrizos</c:v>
                </c:pt>
                <c:pt idx="1">
                  <c:v>San Pedro De Macoris 2</c:v>
                </c:pt>
                <c:pt idx="2">
                  <c:v>Laboratorio Principal</c:v>
                </c:pt>
                <c:pt idx="3">
                  <c:v>Megacentro</c:v>
                </c:pt>
                <c:pt idx="4">
                  <c:v>Carretera Mella</c:v>
                </c:pt>
                <c:pt idx="5">
                  <c:v>Boca Chica</c:v>
                </c:pt>
                <c:pt idx="6">
                  <c:v>Cruz Jiminian</c:v>
                </c:pt>
                <c:pt idx="7">
                  <c:v>Villa Mella</c:v>
                </c:pt>
                <c:pt idx="8">
                  <c:v>Ozama</c:v>
                </c:pt>
                <c:pt idx="9">
                  <c:v>Ave. Independencia</c:v>
                </c:pt>
              </c:strCache>
            </c:strRef>
          </c:cat>
          <c:val>
            <c:numRef>
              <c:f>Top10_Sucursales!$B$2:$B$11</c:f>
              <c:numCache>
                <c:formatCode>General</c:formatCode>
                <c:ptCount val="10"/>
                <c:pt idx="0">
                  <c:v>12542</c:v>
                </c:pt>
                <c:pt idx="1">
                  <c:v>12505</c:v>
                </c:pt>
                <c:pt idx="2">
                  <c:v>11997</c:v>
                </c:pt>
                <c:pt idx="3">
                  <c:v>11801</c:v>
                </c:pt>
                <c:pt idx="4">
                  <c:v>11215</c:v>
                </c:pt>
                <c:pt idx="5">
                  <c:v>10494</c:v>
                </c:pt>
                <c:pt idx="6">
                  <c:v>10333</c:v>
                </c:pt>
                <c:pt idx="7">
                  <c:v>9993</c:v>
                </c:pt>
                <c:pt idx="8">
                  <c:v>9566</c:v>
                </c:pt>
                <c:pt idx="9">
                  <c:v>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F3A-4F2B-80B0-35DDAEF8C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3935216"/>
        <c:axId val="903936656"/>
      </c:barChart>
      <c:lineChart>
        <c:grouping val="standard"/>
        <c:varyColors val="1"/>
        <c:ser>
          <c:idx val="1"/>
          <c:order val="1"/>
          <c:tx>
            <c:strRef>
              <c:f>Top10_Sucursales!$C$1</c:f>
              <c:strCache>
                <c:ptCount val="1"/>
                <c:pt idx="0">
                  <c:v>Promedio TE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A5FF-455C-ADBB-3A65F44F4382}"/>
              </c:ext>
            </c:extLst>
          </c:dPt>
          <c:cat>
            <c:strRef>
              <c:f>Top10_Sucursales!$A$2:$A$11</c:f>
              <c:strCache>
                <c:ptCount val="10"/>
                <c:pt idx="0">
                  <c:v>Los Alcarrizos</c:v>
                </c:pt>
                <c:pt idx="1">
                  <c:v>San Pedro De Macoris 2</c:v>
                </c:pt>
                <c:pt idx="2">
                  <c:v>Laboratorio Principal</c:v>
                </c:pt>
                <c:pt idx="3">
                  <c:v>Megacentro</c:v>
                </c:pt>
                <c:pt idx="4">
                  <c:v>Carretera Mella</c:v>
                </c:pt>
                <c:pt idx="5">
                  <c:v>Boca Chica</c:v>
                </c:pt>
                <c:pt idx="6">
                  <c:v>Cruz Jiminian</c:v>
                </c:pt>
                <c:pt idx="7">
                  <c:v>Villa Mella</c:v>
                </c:pt>
                <c:pt idx="8">
                  <c:v>Ozama</c:v>
                </c:pt>
                <c:pt idx="9">
                  <c:v>Ave. Independencia</c:v>
                </c:pt>
              </c:strCache>
            </c:strRef>
          </c:cat>
          <c:val>
            <c:numRef>
              <c:f>Top10_Sucursales!$C$2:$C$11</c:f>
              <c:numCache>
                <c:formatCode>0.00%;\-0.00%;0.00%</c:formatCode>
                <c:ptCount val="10"/>
                <c:pt idx="0">
                  <c:v>1.0925925925925926E-2</c:v>
                </c:pt>
                <c:pt idx="1">
                  <c:v>1.6354166666666666E-2</c:v>
                </c:pt>
                <c:pt idx="2">
                  <c:v>7.8935185185185185E-3</c:v>
                </c:pt>
                <c:pt idx="3">
                  <c:v>1.019675925925926E-2</c:v>
                </c:pt>
                <c:pt idx="4">
                  <c:v>9.6412037037037039E-3</c:v>
                </c:pt>
                <c:pt idx="5">
                  <c:v>6.2500000000000003E-3</c:v>
                </c:pt>
                <c:pt idx="6">
                  <c:v>9.4212962962962957E-3</c:v>
                </c:pt>
                <c:pt idx="7">
                  <c:v>7.9166666666666673E-3</c:v>
                </c:pt>
                <c:pt idx="8">
                  <c:v>8.0902777777777778E-3</c:v>
                </c:pt>
                <c:pt idx="9">
                  <c:v>1.1493055555555555E-2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F3A-4F2B-80B0-35DDAEF8C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864096"/>
        <c:axId val="452869856"/>
      </c:lineChart>
      <c:catAx>
        <c:axId val="90393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3936656"/>
        <c:crosses val="autoZero"/>
        <c:auto val="1"/>
        <c:lblAlgn val="ctr"/>
        <c:lblOffset val="100"/>
        <c:noMultiLvlLbl val="0"/>
      </c:catAx>
      <c:valAx>
        <c:axId val="90393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03935216"/>
        <c:crosses val="autoZero"/>
        <c:crossBetween val="between"/>
      </c:valAx>
      <c:valAx>
        <c:axId val="452869856"/>
        <c:scaling>
          <c:orientation val="minMax"/>
        </c:scaling>
        <c:delete val="0"/>
        <c:axPos val="r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452864096"/>
        <c:crosses val="max"/>
        <c:crossBetween val="between"/>
      </c:valAx>
      <c:catAx>
        <c:axId val="452864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869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es-DO" b="1">
                <a:solidFill>
                  <a:sysClr val="windowText" lastClr="000000"/>
                </a:solidFill>
              </a:rPr>
              <a:t>Top 10 - TE vs. 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Top10_Sucursales!$B$1</c:f>
              <c:strCache>
                <c:ptCount val="1"/>
                <c:pt idx="0">
                  <c:v>Total 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Top10_Sucursales!$A$2:$A$11</c:f>
              <c:strCache>
                <c:ptCount val="10"/>
                <c:pt idx="0">
                  <c:v>Los Alcarrizos</c:v>
                </c:pt>
                <c:pt idx="1">
                  <c:v>San Pedro De Macoris 2</c:v>
                </c:pt>
                <c:pt idx="2">
                  <c:v>Laboratorio Principal</c:v>
                </c:pt>
                <c:pt idx="3">
                  <c:v>Megacentro</c:v>
                </c:pt>
                <c:pt idx="4">
                  <c:v>Carretera Mella</c:v>
                </c:pt>
                <c:pt idx="5">
                  <c:v>Boca Chica</c:v>
                </c:pt>
                <c:pt idx="6">
                  <c:v>Cruz Jiminian</c:v>
                </c:pt>
                <c:pt idx="7">
                  <c:v>Villa Mella</c:v>
                </c:pt>
                <c:pt idx="8">
                  <c:v>Ozama</c:v>
                </c:pt>
                <c:pt idx="9">
                  <c:v>Ave. Independencia</c:v>
                </c:pt>
              </c:strCache>
            </c:strRef>
          </c:cat>
          <c:val>
            <c:numRef>
              <c:f>Top10_Sucursales!$B$2:$B$11</c:f>
              <c:numCache>
                <c:formatCode>General</c:formatCode>
                <c:ptCount val="10"/>
                <c:pt idx="0">
                  <c:v>12542</c:v>
                </c:pt>
                <c:pt idx="1">
                  <c:v>12505</c:v>
                </c:pt>
                <c:pt idx="2">
                  <c:v>11997</c:v>
                </c:pt>
                <c:pt idx="3">
                  <c:v>11801</c:v>
                </c:pt>
                <c:pt idx="4">
                  <c:v>11215</c:v>
                </c:pt>
                <c:pt idx="5">
                  <c:v>10494</c:v>
                </c:pt>
                <c:pt idx="6">
                  <c:v>10333</c:v>
                </c:pt>
                <c:pt idx="7">
                  <c:v>9993</c:v>
                </c:pt>
                <c:pt idx="8">
                  <c:v>9566</c:v>
                </c:pt>
                <c:pt idx="9">
                  <c:v>8777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0-47D3-B676-72CE6812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312868112"/>
        <c:axId val="312881552"/>
      </c:barChart>
      <c:lineChart>
        <c:grouping val="standard"/>
        <c:varyColors val="0"/>
        <c:ser>
          <c:idx val="1"/>
          <c:order val="1"/>
          <c:tx>
            <c:strRef>
              <c:f>Top10_Sucursales!$C$1</c:f>
              <c:strCache>
                <c:ptCount val="1"/>
                <c:pt idx="0">
                  <c:v>Promedio TE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Top10_Sucursales!$A$2:$A$11</c:f>
              <c:strCache>
                <c:ptCount val="10"/>
                <c:pt idx="0">
                  <c:v>Los Alcarrizos</c:v>
                </c:pt>
                <c:pt idx="1">
                  <c:v>San Pedro De Macoris 2</c:v>
                </c:pt>
                <c:pt idx="2">
                  <c:v>Laboratorio Principal</c:v>
                </c:pt>
                <c:pt idx="3">
                  <c:v>Megacentro</c:v>
                </c:pt>
                <c:pt idx="4">
                  <c:v>Carretera Mella</c:v>
                </c:pt>
                <c:pt idx="5">
                  <c:v>Boca Chica</c:v>
                </c:pt>
                <c:pt idx="6">
                  <c:v>Cruz Jiminian</c:v>
                </c:pt>
                <c:pt idx="7">
                  <c:v>Villa Mella</c:v>
                </c:pt>
                <c:pt idx="8">
                  <c:v>Ozama</c:v>
                </c:pt>
                <c:pt idx="9">
                  <c:v>Ave. Independencia</c:v>
                </c:pt>
              </c:strCache>
            </c:strRef>
          </c:cat>
          <c:val>
            <c:numRef>
              <c:f>Top10_Sucursales!$C$2:$C$11</c:f>
              <c:numCache>
                <c:formatCode>0.00%;\-0.00%;0.00%</c:formatCode>
                <c:ptCount val="10"/>
                <c:pt idx="0">
                  <c:v>1.0925925925925926E-2</c:v>
                </c:pt>
                <c:pt idx="1">
                  <c:v>1.6354166666666666E-2</c:v>
                </c:pt>
                <c:pt idx="2">
                  <c:v>7.8935185185185185E-3</c:v>
                </c:pt>
                <c:pt idx="3">
                  <c:v>1.019675925925926E-2</c:v>
                </c:pt>
                <c:pt idx="4">
                  <c:v>9.6412037037037039E-3</c:v>
                </c:pt>
                <c:pt idx="5">
                  <c:v>6.2500000000000003E-3</c:v>
                </c:pt>
                <c:pt idx="6">
                  <c:v>9.4212962962962957E-3</c:v>
                </c:pt>
                <c:pt idx="7">
                  <c:v>7.9166666666666673E-3</c:v>
                </c:pt>
                <c:pt idx="8">
                  <c:v>8.0902777777777778E-3</c:v>
                </c:pt>
                <c:pt idx="9">
                  <c:v>1.1493055555555555E-2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0-47D3-B676-72CE6812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868592"/>
        <c:axId val="312891152"/>
      </c:lineChart>
      <c:catAx>
        <c:axId val="312868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312881552"/>
        <c:crosses val="autoZero"/>
        <c:auto val="1"/>
        <c:lblAlgn val="ctr"/>
        <c:lblOffset val="100"/>
        <c:noMultiLvlLbl val="0"/>
      </c:catAx>
      <c:valAx>
        <c:axId val="3128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312868112"/>
        <c:crosses val="autoZero"/>
        <c:crossBetween val="between"/>
      </c:valAx>
      <c:valAx>
        <c:axId val="312891152"/>
        <c:scaling>
          <c:orientation val="minMax"/>
        </c:scaling>
        <c:delete val="0"/>
        <c:axPos val="r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312868592"/>
        <c:crosses val="max"/>
        <c:crossBetween val="between"/>
      </c:valAx>
      <c:catAx>
        <c:axId val="31286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2891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DO" sz="2000" b="1" i="0" u="none" strike="noStrike" baseline="0">
                <a:solidFill>
                  <a:schemeClr val="tx1"/>
                </a:solidFill>
              </a:rPr>
              <a:t>Facturación Ejecutada y Crecimiento Anual – Top 10 Sucursales</a:t>
            </a:r>
            <a:endParaRPr lang="es-DO" sz="2000" b="1">
              <a:solidFill>
                <a:schemeClr val="tx1"/>
              </a:solidFill>
              <a:latin typeface="+mj-lt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Top_Facturación!$B$1</c:f>
              <c:strCache>
                <c:ptCount val="1"/>
                <c:pt idx="0">
                  <c:v>No. de Facturas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  <a:headEnd type="diamond"/>
                <a:tailEnd type="diamond"/>
              </a:ln>
              <a:effectLst/>
            </c:spPr>
            <c:trendlineType val="linear"/>
            <c:dispRSqr val="0"/>
            <c:dispEq val="0"/>
          </c:trendline>
          <c:cat>
            <c:strRef>
              <c:f>Top_Facturación!$A$2:$A$11</c:f>
              <c:strCache>
                <c:ptCount val="10"/>
                <c:pt idx="0">
                  <c:v>Gazcue (Laboratorio Principal)</c:v>
                </c:pt>
                <c:pt idx="1">
                  <c:v>Carrefour</c:v>
                </c:pt>
                <c:pt idx="2">
                  <c:v>San Pedro de Macoris II</c:v>
                </c:pt>
                <c:pt idx="3">
                  <c:v>Ozama</c:v>
                </c:pt>
                <c:pt idx="4">
                  <c:v>Megacentro</c:v>
                </c:pt>
                <c:pt idx="5">
                  <c:v>Teléfono/WA Business</c:v>
                </c:pt>
                <c:pt idx="6">
                  <c:v>Independencia</c:v>
                </c:pt>
                <c:pt idx="7">
                  <c:v>Los Alcarrizos</c:v>
                </c:pt>
                <c:pt idx="8">
                  <c:v>Carretera Mella</c:v>
                </c:pt>
                <c:pt idx="9">
                  <c:v>Villa Mella</c:v>
                </c:pt>
              </c:strCache>
            </c:strRef>
          </c:cat>
          <c:val>
            <c:numRef>
              <c:f>Top_Facturación!$B$2:$B$11</c:f>
              <c:numCache>
                <c:formatCode>#,##0</c:formatCode>
                <c:ptCount val="10"/>
                <c:pt idx="0">
                  <c:v>5309</c:v>
                </c:pt>
                <c:pt idx="1">
                  <c:v>3965</c:v>
                </c:pt>
                <c:pt idx="2">
                  <c:v>4970</c:v>
                </c:pt>
                <c:pt idx="3">
                  <c:v>3933</c:v>
                </c:pt>
                <c:pt idx="4">
                  <c:v>4564</c:v>
                </c:pt>
                <c:pt idx="5">
                  <c:v>2939</c:v>
                </c:pt>
                <c:pt idx="6">
                  <c:v>3366</c:v>
                </c:pt>
                <c:pt idx="7">
                  <c:v>4518</c:v>
                </c:pt>
                <c:pt idx="8">
                  <c:v>4219</c:v>
                </c:pt>
                <c:pt idx="9">
                  <c:v>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5-43F5-8E0E-7173BC5989D0}"/>
            </c:ext>
          </c:extLst>
        </c:ser>
        <c:ser>
          <c:idx val="1"/>
          <c:order val="1"/>
          <c:tx>
            <c:strRef>
              <c:f>Top_Facturación!$C$1</c:f>
              <c:strCache>
                <c:ptCount val="1"/>
                <c:pt idx="0">
                  <c:v>Facturacion Ejecutada</c:v>
                </c:pt>
              </c:strCache>
            </c:strRef>
          </c:tx>
          <c:spPr>
            <a:solidFill>
              <a:srgbClr val="002060">
                <a:alpha val="99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Top_Facturación!$A$2:$A$11</c:f>
              <c:strCache>
                <c:ptCount val="10"/>
                <c:pt idx="0">
                  <c:v>Gazcue (Laboratorio Principal)</c:v>
                </c:pt>
                <c:pt idx="1">
                  <c:v>Carrefour</c:v>
                </c:pt>
                <c:pt idx="2">
                  <c:v>San Pedro de Macoris II</c:v>
                </c:pt>
                <c:pt idx="3">
                  <c:v>Ozama</c:v>
                </c:pt>
                <c:pt idx="4">
                  <c:v>Megacentro</c:v>
                </c:pt>
                <c:pt idx="5">
                  <c:v>Teléfono/WA Business</c:v>
                </c:pt>
                <c:pt idx="6">
                  <c:v>Independencia</c:v>
                </c:pt>
                <c:pt idx="7">
                  <c:v>Los Alcarrizos</c:v>
                </c:pt>
                <c:pt idx="8">
                  <c:v>Carretera Mella</c:v>
                </c:pt>
                <c:pt idx="9">
                  <c:v>Villa Mella</c:v>
                </c:pt>
              </c:strCache>
            </c:strRef>
          </c:cat>
          <c:val>
            <c:numRef>
              <c:f>Top_Facturación!$C$2:$C$11</c:f>
              <c:numCache>
                <c:formatCode>\$#,##0.00;\(\$#,##0.00\);\$#,##0.00</c:formatCode>
                <c:ptCount val="10"/>
                <c:pt idx="0">
                  <c:v>17179409.199999996</c:v>
                </c:pt>
                <c:pt idx="1">
                  <c:v>11674511.219999997</c:v>
                </c:pt>
                <c:pt idx="2">
                  <c:v>11562258.639999997</c:v>
                </c:pt>
                <c:pt idx="3">
                  <c:v>11195172.919999998</c:v>
                </c:pt>
                <c:pt idx="4">
                  <c:v>11038057.929999998</c:v>
                </c:pt>
                <c:pt idx="5">
                  <c:v>10974073.899999999</c:v>
                </c:pt>
                <c:pt idx="6">
                  <c:v>10548837.320000004</c:v>
                </c:pt>
                <c:pt idx="7">
                  <c:v>10388125.699999996</c:v>
                </c:pt>
                <c:pt idx="8">
                  <c:v>10171970.790000001</c:v>
                </c:pt>
                <c:pt idx="9">
                  <c:v>10150216.069999998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5-43F5-8E0E-7173BC5989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06707472"/>
        <c:axId val="506704592"/>
      </c:barChart>
      <c:lineChart>
        <c:grouping val="standard"/>
        <c:varyColors val="0"/>
        <c:ser>
          <c:idx val="2"/>
          <c:order val="2"/>
          <c:tx>
            <c:strRef>
              <c:f>Top_Facturación!$D$1</c:f>
              <c:strCache>
                <c:ptCount val="1"/>
                <c:pt idx="0">
                  <c:v>% Crec. Anual Fact.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Top_Facturación!$A$2:$A$11</c:f>
              <c:strCache>
                <c:ptCount val="10"/>
                <c:pt idx="0">
                  <c:v>Gazcue (Laboratorio Principal)</c:v>
                </c:pt>
                <c:pt idx="1">
                  <c:v>Carrefour</c:v>
                </c:pt>
                <c:pt idx="2">
                  <c:v>San Pedro de Macoris II</c:v>
                </c:pt>
                <c:pt idx="3">
                  <c:v>Ozama</c:v>
                </c:pt>
                <c:pt idx="4">
                  <c:v>Megacentro</c:v>
                </c:pt>
                <c:pt idx="5">
                  <c:v>Teléfono/WA Business</c:v>
                </c:pt>
                <c:pt idx="6">
                  <c:v>Independencia</c:v>
                </c:pt>
                <c:pt idx="7">
                  <c:v>Los Alcarrizos</c:v>
                </c:pt>
                <c:pt idx="8">
                  <c:v>Carretera Mella</c:v>
                </c:pt>
                <c:pt idx="9">
                  <c:v>Villa Mella</c:v>
                </c:pt>
              </c:strCache>
            </c:strRef>
          </c:cat>
          <c:val>
            <c:numRef>
              <c:f>Top_Facturación!$D$2:$D$11</c:f>
              <c:numCache>
                <c:formatCode>0.00%;\-0.00%;0.00%</c:formatCode>
                <c:ptCount val="10"/>
                <c:pt idx="0">
                  <c:v>-3.3191083705420003E-2</c:v>
                </c:pt>
                <c:pt idx="1">
                  <c:v>-1.9021093340733389E-2</c:v>
                </c:pt>
                <c:pt idx="2">
                  <c:v>1.6420256607582062E-2</c:v>
                </c:pt>
                <c:pt idx="3">
                  <c:v>2.1446341174490187E-2</c:v>
                </c:pt>
                <c:pt idx="4">
                  <c:v>-5.3502305984594961E-2</c:v>
                </c:pt>
                <c:pt idx="5">
                  <c:v>-6.0974346030157528E-2</c:v>
                </c:pt>
                <c:pt idx="6">
                  <c:v>-0.14382313758171714</c:v>
                </c:pt>
                <c:pt idx="7">
                  <c:v>-2.6230146370956789E-2</c:v>
                </c:pt>
                <c:pt idx="8">
                  <c:v>-7.7371524100223743E-2</c:v>
                </c:pt>
                <c:pt idx="9">
                  <c:v>-3.7506110289181105E-2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5-43F5-8E0E-7173BC5989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5255712"/>
        <c:axId val="515253792"/>
      </c:lineChart>
      <c:catAx>
        <c:axId val="506707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6704592"/>
        <c:crosses val="autoZero"/>
        <c:auto val="1"/>
        <c:lblAlgn val="ctr"/>
        <c:lblOffset val="100"/>
        <c:noMultiLvlLbl val="0"/>
      </c:catAx>
      <c:valAx>
        <c:axId val="506704592"/>
        <c:scaling>
          <c:orientation val="minMax"/>
          <c:min val="1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06707472"/>
        <c:crosses val="autoZero"/>
        <c:crossBetween val="between"/>
      </c:valAx>
      <c:valAx>
        <c:axId val="515253792"/>
        <c:scaling>
          <c:orientation val="minMax"/>
        </c:scaling>
        <c:delete val="0"/>
        <c:axPos val="r"/>
        <c:numFmt formatCode="0.00%;\-0.00%;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15255712"/>
        <c:crosses val="max"/>
        <c:crossBetween val="between"/>
      </c:valAx>
      <c:catAx>
        <c:axId val="515255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2537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rnd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2000">
                <a:solidFill>
                  <a:schemeClr val="tx1"/>
                </a:solidFill>
                <a:latin typeface="+mj-lt"/>
                <a:ea typeface="ADLaM Display" panose="02010000000000000000" pitchFamily="2" charset="0"/>
                <a:cs typeface="ADLaM Display" panose="02010000000000000000" pitchFamily="2" charset="0"/>
              </a:rPr>
              <a:t>Top 10 Sucursales con mayor facturación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s-DO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Top_Facturación!$C$1</c:f>
              <c:strCache>
                <c:ptCount val="1"/>
                <c:pt idx="0">
                  <c:v>Facturacion Ejecutada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3-4EEE-B32F-61C41C3F18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33-4EEE-B32F-61C41C3F18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33-4EEE-B32F-61C41C3F18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33-4EEE-B32F-61C41C3F18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933-4EEE-B32F-61C41C3F18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933-4EEE-B32F-61C41C3F18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933-4EEE-B32F-61C41C3F18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933-4EEE-B32F-61C41C3F18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80000"/>
                  <a:lumOff val="2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B933-4EEE-B32F-61C41C3F18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8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B933-4EEE-B32F-61C41C3F18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Top_Facturación!$A$2:$A$11</c:f>
              <c:strCache>
                <c:ptCount val="10"/>
                <c:pt idx="0">
                  <c:v>Gazcue (Laboratorio Principal)</c:v>
                </c:pt>
                <c:pt idx="1">
                  <c:v>Carrefour</c:v>
                </c:pt>
                <c:pt idx="2">
                  <c:v>San Pedro de Macoris II</c:v>
                </c:pt>
                <c:pt idx="3">
                  <c:v>Ozama</c:v>
                </c:pt>
                <c:pt idx="4">
                  <c:v>Megacentro</c:v>
                </c:pt>
                <c:pt idx="5">
                  <c:v>Teléfono/WA Business</c:v>
                </c:pt>
                <c:pt idx="6">
                  <c:v>Independencia</c:v>
                </c:pt>
                <c:pt idx="7">
                  <c:v>Los Alcarrizos</c:v>
                </c:pt>
                <c:pt idx="8">
                  <c:v>Carretera Mella</c:v>
                </c:pt>
                <c:pt idx="9">
                  <c:v>Villa Mella</c:v>
                </c:pt>
              </c:strCache>
            </c:strRef>
          </c:cat>
          <c:val>
            <c:numRef>
              <c:f>Top_Facturación!$C$2:$C$11</c:f>
              <c:numCache>
                <c:formatCode>\$#,##0.00;\(\$#,##0.00\);\$#,##0.00</c:formatCode>
                <c:ptCount val="10"/>
                <c:pt idx="0">
                  <c:v>17179409.199999996</c:v>
                </c:pt>
                <c:pt idx="1">
                  <c:v>11674511.219999997</c:v>
                </c:pt>
                <c:pt idx="2">
                  <c:v>11562258.639999997</c:v>
                </c:pt>
                <c:pt idx="3">
                  <c:v>11195172.919999998</c:v>
                </c:pt>
                <c:pt idx="4">
                  <c:v>11038057.929999998</c:v>
                </c:pt>
                <c:pt idx="5">
                  <c:v>10974073.899999999</c:v>
                </c:pt>
                <c:pt idx="6">
                  <c:v>10548837.320000004</c:v>
                </c:pt>
                <c:pt idx="7">
                  <c:v>10388125.699999996</c:v>
                </c:pt>
                <c:pt idx="8">
                  <c:v>10171970.790000001</c:v>
                </c:pt>
                <c:pt idx="9">
                  <c:v>10150216.069999998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C-4CBB-9532-E447866F62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6412592"/>
        <c:axId val="576413552"/>
      </c:barChart>
      <c:catAx>
        <c:axId val="57641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DO"/>
          </a:p>
        </c:txPr>
        <c:crossAx val="576413552"/>
        <c:crosses val="autoZero"/>
        <c:auto val="1"/>
        <c:lblAlgn val="ctr"/>
        <c:lblOffset val="100"/>
        <c:noMultiLvlLbl val="0"/>
      </c:catAx>
      <c:valAx>
        <c:axId val="576413552"/>
        <c:scaling>
          <c:orientation val="minMax"/>
        </c:scaling>
        <c:delete val="1"/>
        <c:axPos val="b"/>
        <c:numFmt formatCode="\$#,##0.00;\(\$#,##0.00\);\$#,##0.00" sourceLinked="1"/>
        <c:majorTickMark val="none"/>
        <c:minorTickMark val="none"/>
        <c:tickLblPos val="nextTo"/>
        <c:crossAx val="57641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 sz="1600" b="1" i="0" u="none" strike="noStrike" baseline="0">
                <a:solidFill>
                  <a:schemeClr val="tx1"/>
                </a:solidFill>
              </a:rPr>
              <a:t>Top 5 Sucursales por Facturación Ejecutada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Top_Facturación!$C$1</c:f>
              <c:strCache>
                <c:ptCount val="1"/>
                <c:pt idx="0">
                  <c:v>Facturacion Ejecutada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32F-4EC4-8FC1-F2FA271D27A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C58E-4CAC-B252-7086E81E0DD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32F-4EC4-8FC1-F2FA271D27A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32F-4EC4-8FC1-F2FA271D27A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32F-4EC4-8FC1-F2FA271D27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Top_Facturación!$A$2:$A$6</c:f>
              <c:strCache>
                <c:ptCount val="5"/>
                <c:pt idx="0">
                  <c:v>Gazcue (Laboratorio Principal)</c:v>
                </c:pt>
                <c:pt idx="1">
                  <c:v>Carrefour</c:v>
                </c:pt>
                <c:pt idx="2">
                  <c:v>San Pedro de Macoris II</c:v>
                </c:pt>
                <c:pt idx="3">
                  <c:v>Ozama</c:v>
                </c:pt>
                <c:pt idx="4">
                  <c:v>Megacentro</c:v>
                </c:pt>
              </c:strCache>
            </c:strRef>
          </c:cat>
          <c:val>
            <c:numRef>
              <c:f>Top_Facturación!$C$2:$C$6</c:f>
              <c:numCache>
                <c:formatCode>\$#,##0.00;\(\$#,##0.00\);\$#,##0.00</c:formatCode>
                <c:ptCount val="5"/>
                <c:pt idx="0">
                  <c:v>17179409.199999996</c:v>
                </c:pt>
                <c:pt idx="1">
                  <c:v>11674511.219999997</c:v>
                </c:pt>
                <c:pt idx="2">
                  <c:v>11562258.639999997</c:v>
                </c:pt>
                <c:pt idx="3">
                  <c:v>11195172.919999998</c:v>
                </c:pt>
                <c:pt idx="4">
                  <c:v>11038057.929999998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E-4CAC-B252-7086E81E0D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3391152"/>
        <c:axId val="203394032"/>
        <c:axId val="0"/>
      </c:bar3DChart>
      <c:catAx>
        <c:axId val="20339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3394032"/>
        <c:crosses val="autoZero"/>
        <c:auto val="1"/>
        <c:lblAlgn val="ctr"/>
        <c:lblOffset val="100"/>
        <c:noMultiLvlLbl val="0"/>
      </c:catAx>
      <c:valAx>
        <c:axId val="2033940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crossAx val="20339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470959</xdr:colOff>
      <xdr:row>2</xdr:row>
      <xdr:rowOff>7940</xdr:rowOff>
    </xdr:from>
    <xdr:to>
      <xdr:col>17</xdr:col>
      <xdr:colOff>216958</xdr:colOff>
      <xdr:row>16</xdr:row>
      <xdr:rowOff>92604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12033C-DE03-D352-0A86-F235E1A2B8F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452438</xdr:colOff>
      <xdr:row>16</xdr:row>
      <xdr:rowOff>226219</xdr:rowOff>
    </xdr:from>
    <xdr:to>
      <xdr:col>17</xdr:col>
      <xdr:colOff>178594</xdr:colOff>
      <xdr:row>34</xdr:row>
      <xdr:rowOff>68036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B5FA5A-642F-82F0-3DAF-099BEB7AC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683129</xdr:colOff>
      <xdr:row>39</xdr:row>
      <xdr:rowOff>57847</xdr:rowOff>
    </xdr:from>
    <xdr:to>
      <xdr:col>22</xdr:col>
      <xdr:colOff>13939</xdr:colOff>
      <xdr:row>57</xdr:row>
      <xdr:rowOff>18558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149BA15-B0C2-F535-25CD-1E49C0A67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187015</xdr:colOff>
      <xdr:row>77</xdr:row>
      <xdr:rowOff>174238</xdr:rowOff>
    </xdr:from>
    <xdr:to>
      <xdr:col>22</xdr:col>
      <xdr:colOff>313628</xdr:colOff>
      <xdr:row>105</xdr:row>
      <xdr:rowOff>228445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1A95B26-5C35-A8BC-4A6F-811F4A9C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46463</xdr:colOff>
      <xdr:row>57</xdr:row>
      <xdr:rowOff>137843</xdr:rowOff>
    </xdr:from>
    <xdr:to>
      <xdr:col>21</xdr:col>
      <xdr:colOff>745174</xdr:colOff>
      <xdr:row>75</xdr:row>
      <xdr:rowOff>58079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FB66D5-1634-CD94-E875-3A339D435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614309</xdr:colOff>
      <xdr:row>0</xdr:row>
      <xdr:rowOff>0</xdr:rowOff>
    </xdr:from>
    <xdr:to>
      <xdr:col>13</xdr:col>
      <xdr:colOff>142875</xdr:colOff>
      <xdr:row>13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2CC5D3-BACB-99F6-7E2B-6D03A409B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603249</xdr:colOff>
      <xdr:row>14</xdr:row>
      <xdr:rowOff>111124</xdr:rowOff>
    </xdr:from>
    <xdr:to>
      <xdr:col>13</xdr:col>
      <xdr:colOff>127000</xdr:colOff>
      <xdr:row>29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E238EA-A196-EE84-1488-3CB66D75E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581025</xdr:colOff>
      <xdr:row>30</xdr:row>
      <xdr:rowOff>4761</xdr:rowOff>
    </xdr:from>
    <xdr:to>
      <xdr:col>12</xdr:col>
      <xdr:colOff>752475</xdr:colOff>
      <xdr:row>45</xdr:row>
      <xdr:rowOff>161924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85AB27A-D60D-77CE-689C-87982E2E0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3</xdr:row>
      <xdr:rowOff>185736</xdr:rowOff>
    </xdr:from>
    <xdr:to>
      <xdr:col>6</xdr:col>
      <xdr:colOff>742950</xdr:colOff>
      <xdr:row>20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16F3B9-4E72-552F-B9A6-8B539D25A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523874</xdr:colOff>
      <xdr:row>0</xdr:row>
      <xdr:rowOff>1</xdr:rowOff>
    </xdr:from>
    <xdr:to>
      <xdr:col>14</xdr:col>
      <xdr:colOff>504825</xdr:colOff>
      <xdr:row>17</xdr:row>
      <xdr:rowOff>171451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5A7EEB2-5C86-571C-BE20-E0C88AF07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14</xdr:col>
      <xdr:colOff>752474</xdr:colOff>
      <xdr:row>0</xdr:row>
      <xdr:rowOff>9525</xdr:rowOff>
    </xdr:from>
    <xdr:to>
      <xdr:col>18</xdr:col>
      <xdr:colOff>342899</xdr:colOff>
      <xdr:row>18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9" name="Sucursal">
              <a:extLst>
                <a:ext uri="{FF2B5EF4-FFF2-40B4-BE49-F238E27FC236}">
                  <a16:creationId xmlns:a16="http://schemas.microsoft.com/office/drawing/2014/main" id="{17A02C8F-8BA6-7B3E-ABBB-697B011DD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3599" y="9525"/>
              <a:ext cx="2638425" cy="3486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14</xdr:col>
      <xdr:colOff>714375</xdr:colOff>
      <xdr:row>18</xdr:row>
      <xdr:rowOff>142875</xdr:rowOff>
    </xdr:from>
    <xdr:to>
      <xdr:col>18</xdr:col>
      <xdr:colOff>323850</xdr:colOff>
      <xdr:row>32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Total AT">
              <a:extLst>
                <a:ext uri="{FF2B5EF4-FFF2-40B4-BE49-F238E27FC236}">
                  <a16:creationId xmlns:a16="http://schemas.microsoft.com/office/drawing/2014/main" id="{6D0B0887-373C-E229-BC1A-6A0EBA2DCE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500" y="3571875"/>
              <a:ext cx="26574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6</xdr:col>
      <xdr:colOff>631030</xdr:colOff>
      <xdr:row>19</xdr:row>
      <xdr:rowOff>9524</xdr:rowOff>
    </xdr:from>
    <xdr:to>
      <xdr:col>14</xdr:col>
      <xdr:colOff>559594</xdr:colOff>
      <xdr:row>36</xdr:row>
      <xdr:rowOff>154780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70D31D-E128-4D54-E7F5-1F2C6D1E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647699</xdr:colOff>
      <xdr:row>0</xdr:row>
      <xdr:rowOff>52388</xdr:rowOff>
    </xdr:from>
    <xdr:to>
      <xdr:col>13</xdr:col>
      <xdr:colOff>552450</xdr:colOff>
      <xdr:row>17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4AA340-7D60-BD56-9C6D-AF85E49D8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685800</xdr:colOff>
      <xdr:row>19</xdr:row>
      <xdr:rowOff>185736</xdr:rowOff>
    </xdr:from>
    <xdr:to>
      <xdr:col>13</xdr:col>
      <xdr:colOff>542925</xdr:colOff>
      <xdr:row>38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93FD55-0DF4-42B9-DC45-6F2AFD361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176211</xdr:rowOff>
    </xdr:from>
    <xdr:to>
      <xdr:col>4</xdr:col>
      <xdr:colOff>581025</xdr:colOff>
      <xdr:row>37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D93880-630E-4E55-6B3D-D315B6A6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476251</xdr:colOff>
      <xdr:row>0</xdr:row>
      <xdr:rowOff>23812</xdr:rowOff>
    </xdr:from>
    <xdr:to>
      <xdr:col>14</xdr:col>
      <xdr:colOff>266700</xdr:colOff>
      <xdr:row>18</xdr:row>
      <xdr:rowOff>104776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D4DC19-24F0-8701-ECFC-860840765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19</xdr:row>
      <xdr:rowOff>4761</xdr:rowOff>
    </xdr:from>
    <xdr:to>
      <xdr:col>14</xdr:col>
      <xdr:colOff>257175</xdr:colOff>
      <xdr:row>39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4D7CBE-4217-1F8C-E45C-01130E511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47624</xdr:rowOff>
    </xdr:from>
    <xdr:to>
      <xdr:col>4</xdr:col>
      <xdr:colOff>257175</xdr:colOff>
      <xdr:row>30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E0D52A-3F2E-82BA-D791-BE7F8EFAE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erd" refreshedDate="45952.053146180559" createdVersion="8" refreshedVersion="8" minRefreshableVersion="3" recordCount="78" xr:uid="{DCB0E487-8A51-4D32-9C9A-D90ECFE2AF0B}">
  <cacheSource type="worksheet">
    <worksheetSource name="Tbl_Facturación"/>
  </cacheSource>
  <cacheFields count="7">
    <cacheField name="Sucursal" numFmtId="0">
      <sharedItems count="78">
        <s v="Gazcue (Laboratorio Principal)"/>
        <s v="Carrefour"/>
        <s v="San Pedro de Macoris II"/>
        <s v="Ozama"/>
        <s v="Megacentro"/>
        <s v="Teléfono/WA Business"/>
        <s v="Independencia"/>
        <s v="Los Alcarrizos"/>
        <s v="Carretera Mella"/>
        <s v="Villa Mella"/>
        <s v="Amadita APP"/>
        <s v="Piantini"/>
        <s v="Los Prados"/>
        <s v="Colina Centro"/>
        <s v="Cruz Jiminian"/>
        <s v="San Isidro Plaza Cuadra"/>
        <s v="Manoguayabo"/>
        <s v="San Cristobal"/>
        <s v="Boca Chica"/>
        <s v="Mirador Norte"/>
        <s v="La Vega"/>
        <s v="La Romana Multiplaza"/>
        <s v="María Auxiliadora"/>
        <s v="La Romana II"/>
        <s v="Los Frailes"/>
        <s v="Azua"/>
        <s v="San Vicente"/>
        <s v="Santiago Restauración"/>
        <s v="Moca"/>
        <s v="San Pedro Plaza El Prado II"/>
        <s v="Los Proceres"/>
        <s v="Sirena Luperón"/>
        <s v="San Isidro Labrador"/>
        <s v="Higuey Multiplaza"/>
        <s v="Bella Vista"/>
        <s v="Naco"/>
        <s v="Santiago Plaza Texas"/>
        <s v="Sambil"/>
        <s v="Baní"/>
        <s v="La Esperilla"/>
        <s v="Galerias Villa Mella"/>
        <s v="Sirena San Cristóbal"/>
        <s v="Monumental"/>
        <s v="San Francisco de Macoris"/>
        <s v="Carretera De Mendoza"/>
        <s v="Galeria 360"/>
        <s v="Nagua"/>
        <s v="La Romana I"/>
        <s v="Bávaro"/>
        <s v="Arroyo Hondo II"/>
        <s v="San Cristobal Madre Vieja"/>
        <s v="MEDEX"/>
        <s v="Herrera"/>
        <s v="Arroyo Hondo"/>
        <s v="La Esperilla (CRESA)"/>
        <s v="San Pedro de Macoris I"/>
        <s v="SKYTEL"/>
        <s v="Gazcue (Prenatal Care)"/>
        <s v="Jarabacoa"/>
        <s v="CHURCHILL"/>
        <s v="Republica De Colombia"/>
        <s v="TM DEPI"/>
        <s v="Metro"/>
        <s v="CRESA - Herrera"/>
        <s v="Carol-Delgado"/>
        <s v="CEDOMIR"/>
        <s v="SuperKids COM"/>
        <s v="AMADITA CENTRO DE VACUNACIÓN"/>
        <s v="AILA"/>
        <s v="INCARDIO"/>
        <s v="Servicio a Domicilio"/>
        <s v="Toma de Muestra Sanitas II"/>
        <s v="Laboratorio Simulación"/>
        <s v="Superkids Piantini"/>
        <s v="ENDOCARDIO"/>
        <s v="Metro Pedro Mir"/>
        <s v="Centro Carita Feliz"/>
        <s v="Estacion Metro Concepcion Bona"/>
      </sharedItems>
    </cacheField>
    <cacheField name="No. de Facturas" numFmtId="3">
      <sharedItems containsSemiMixedTypes="0" containsString="0" containsNumber="1" containsInteger="1" minValue="30" maxValue="5309" count="78">
        <n v="5309"/>
        <n v="3965"/>
        <n v="4970"/>
        <n v="3933"/>
        <n v="4564"/>
        <n v="2939"/>
        <n v="3366"/>
        <n v="4518"/>
        <n v="4219"/>
        <n v="4112"/>
        <n v="2736"/>
        <n v="2285"/>
        <n v="2608"/>
        <n v="3236"/>
        <n v="3932"/>
        <n v="3218"/>
        <n v="3231"/>
        <n v="3062"/>
        <n v="3563"/>
        <n v="2106"/>
        <n v="2647"/>
        <n v="2721"/>
        <n v="3072"/>
        <n v="2452"/>
        <n v="3019"/>
        <n v="3046"/>
        <n v="2311"/>
        <n v="2502"/>
        <n v="2159"/>
        <n v="2430"/>
        <n v="1895"/>
        <n v="1733"/>
        <n v="2061"/>
        <n v="1735"/>
        <n v="1391"/>
        <n v="1413"/>
        <n v="1543"/>
        <n v="2088"/>
        <n v="2006"/>
        <n v="1425"/>
        <n v="1766"/>
        <n v="1611"/>
        <n v="1606"/>
        <n v="1139"/>
        <n v="1394"/>
        <n v="1182"/>
        <n v="1186"/>
        <n v="1195"/>
        <n v="1322"/>
        <n v="893"/>
        <n v="1144"/>
        <n v="925"/>
        <n v="1179"/>
        <n v="891"/>
        <n v="608"/>
        <n v="901"/>
        <n v="554"/>
        <n v="601"/>
        <n v="574"/>
        <n v="544"/>
        <n v="546"/>
        <n v="619"/>
        <n v="573"/>
        <n v="345"/>
        <n v="316"/>
        <n v="299"/>
        <n v="275"/>
        <n v="139"/>
        <n v="315"/>
        <n v="219"/>
        <n v="126"/>
        <n v="167"/>
        <n v="185"/>
        <n v="67"/>
        <n v="49"/>
        <n v="54"/>
        <n v="41"/>
        <n v="30"/>
      </sharedItems>
    </cacheField>
    <cacheField name="No. Requisiciones TM" numFmtId="3">
      <sharedItems containsString="0" containsBlank="1" containsNumber="1" containsInteger="1" minValue="5" maxValue="15186"/>
    </cacheField>
    <cacheField name="Facturacion Ejecutada" numFmtId="165">
      <sharedItems containsSemiMixedTypes="0" containsString="0" containsNumber="1" minValue="69315" maxValue="17179409.199999996"/>
    </cacheField>
    <cacheField name="Factura Promedio" numFmtId="165">
      <sharedItems containsSemiMixedTypes="0" containsString="0" containsNumber="1" minValue="2181.9024390243903" maxValue="6338.6187050359713"/>
    </cacheField>
    <cacheField name="% Crec. Anual Fact." numFmtId="166">
      <sharedItems containsSemiMixedTypes="0" containsString="0" containsNumber="1" minValue="-0.27763154369374882" maxValue="6.8091933525517101"/>
    </cacheField>
    <cacheField name="Pacientes Ejec." numFmtId="3">
      <sharedItems containsSemiMixedTypes="0" containsString="0" containsNumber="1" containsInteger="1" minValue="27" maxValue="4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n v="15186"/>
    <n v="17179409.199999996"/>
    <n v="3235.9030325861736"/>
    <n v="-3.3191083705420003E-2"/>
    <n v="4512"/>
  </r>
  <r>
    <x v="1"/>
    <x v="1"/>
    <n v="4409"/>
    <n v="11674511.219999997"/>
    <n v="2944.391228247162"/>
    <n v="-1.9021093340733389E-2"/>
    <n v="3391"/>
  </r>
  <r>
    <x v="2"/>
    <x v="2"/>
    <n v="5457"/>
    <n v="11562258.639999997"/>
    <n v="2326.4101891348082"/>
    <n v="1.6420256607582062E-2"/>
    <n v="4171"/>
  </r>
  <r>
    <x v="3"/>
    <x v="3"/>
    <n v="4589"/>
    <n v="11195172.919999998"/>
    <n v="2846.4716297991349"/>
    <n v="2.1446341174490187E-2"/>
    <n v="3286"/>
  </r>
  <r>
    <x v="4"/>
    <x v="4"/>
    <n v="4798"/>
    <n v="11038057.929999998"/>
    <n v="2418.5052432077123"/>
    <n v="-5.3502305984594961E-2"/>
    <n v="3943"/>
  </r>
  <r>
    <x v="5"/>
    <x v="5"/>
    <n v="12"/>
    <n v="10974073.899999999"/>
    <n v="3733.9482477032998"/>
    <n v="-6.0974346030157528E-2"/>
    <n v="2435"/>
  </r>
  <r>
    <x v="6"/>
    <x v="6"/>
    <n v="3777"/>
    <n v="10548837.320000004"/>
    <n v="3133.9385977421284"/>
    <n v="-0.14382313758171714"/>
    <n v="2759"/>
  </r>
  <r>
    <x v="7"/>
    <x v="7"/>
    <n v="5118"/>
    <n v="10388125.699999996"/>
    <n v="2299.2752766710923"/>
    <n v="-2.6230146370956789E-2"/>
    <n v="3756"/>
  </r>
  <r>
    <x v="8"/>
    <x v="8"/>
    <n v="4763"/>
    <n v="10171970.790000001"/>
    <n v="2410.9909433515054"/>
    <n v="-7.7371524100223743E-2"/>
    <n v="3655"/>
  </r>
  <r>
    <x v="9"/>
    <x v="9"/>
    <n v="4898"/>
    <n v="10150216.069999998"/>
    <n v="2468.4377602140075"/>
    <n v="-3.7506110289181105E-2"/>
    <n v="3533"/>
  </r>
  <r>
    <x v="10"/>
    <x v="10"/>
    <n v="5"/>
    <n v="9419453.8713019993"/>
    <n v="3442.782847698099"/>
    <n v="-0.27763154369374882"/>
    <n v="2397"/>
  </r>
  <r>
    <x v="11"/>
    <x v="11"/>
    <n v="2714"/>
    <n v="8997092.2199999988"/>
    <n v="3937.458301969365"/>
    <n v="-5.6226065595166956E-2"/>
    <n v="1837"/>
  </r>
  <r>
    <x v="12"/>
    <x v="12"/>
    <n v="3055"/>
    <n v="8827337.1300000008"/>
    <n v="3384.7151572085891"/>
    <n v="-8.4013872140642515E-2"/>
    <n v="2104"/>
  </r>
  <r>
    <x v="13"/>
    <x v="13"/>
    <n v="3519"/>
    <n v="8702787.7199999969"/>
    <n v="2689.3657972805922"/>
    <n v="0.1441383774562274"/>
    <n v="2694"/>
  </r>
  <r>
    <x v="14"/>
    <x v="14"/>
    <n v="4345"/>
    <n v="8684957.0999999996"/>
    <n v="2208.7886826042727"/>
    <n v="-1.1195654267682518E-2"/>
    <n v="3394"/>
  </r>
  <r>
    <x v="15"/>
    <x v="15"/>
    <n v="3610"/>
    <n v="8651958.910000002"/>
    <n v="2688.6137072715978"/>
    <n v="-2.8214939548789123E-2"/>
    <n v="2639"/>
  </r>
  <r>
    <x v="16"/>
    <x v="16"/>
    <n v="3568"/>
    <n v="8215997.2899999991"/>
    <n v="2542.8651470133082"/>
    <n v="2.8621391792049984E-2"/>
    <n v="2814"/>
  </r>
  <r>
    <x v="17"/>
    <x v="17"/>
    <n v="3347"/>
    <n v="8004287.3500000006"/>
    <n v="2614.0716361854998"/>
    <n v="3.161447702425213E-2"/>
    <n v="2578"/>
  </r>
  <r>
    <x v="18"/>
    <x v="18"/>
    <n v="3721"/>
    <n v="7835949.8000000007"/>
    <n v="2199.2561886051085"/>
    <n v="0.11771188313216881"/>
    <n v="3068"/>
  </r>
  <r>
    <x v="19"/>
    <x v="19"/>
    <n v="2383"/>
    <n v="7804771.4800000014"/>
    <n v="3705.9693637226978"/>
    <n v="1.7301070573787797E-2"/>
    <n v="1711"/>
  </r>
  <r>
    <x v="20"/>
    <x v="20"/>
    <n v="3011"/>
    <n v="7447054.5900000017"/>
    <n v="2813.394253872309"/>
    <n v="7.0407949421081639E-2"/>
    <n v="2185"/>
  </r>
  <r>
    <x v="21"/>
    <x v="21"/>
    <n v="3304"/>
    <n v="7186207.4100000001"/>
    <n v="2641.0170562293274"/>
    <n v="0.12791198678079532"/>
    <n v="2407"/>
  </r>
  <r>
    <x v="22"/>
    <x v="22"/>
    <n v="3208"/>
    <n v="7119328.9899999993"/>
    <n v="2317.4899055989581"/>
    <n v="4.0302511632780189E-2"/>
    <n v="2734"/>
  </r>
  <r>
    <x v="23"/>
    <x v="23"/>
    <n v="2610"/>
    <n v="7069350.3800000018"/>
    <n v="2883.095587275694"/>
    <n v="0.13030448744648127"/>
    <n v="2144"/>
  </r>
  <r>
    <x v="24"/>
    <x v="24"/>
    <n v="3273"/>
    <n v="6957268.5000000009"/>
    <n v="2304.4943689963566"/>
    <n v="-3.8712376260730368E-2"/>
    <n v="2567"/>
  </r>
  <r>
    <x v="25"/>
    <x v="25"/>
    <n v="3187"/>
    <n v="6918480.0000000009"/>
    <n v="2271.3328956007881"/>
    <n v="0.12104053232367665"/>
    <n v="2622"/>
  </r>
  <r>
    <x v="26"/>
    <x v="26"/>
    <n v="2452"/>
    <n v="6686228.7000000002"/>
    <n v="2893.2188230203378"/>
    <n v="-4.0592328722904976E-2"/>
    <n v="1978"/>
  </r>
  <r>
    <x v="27"/>
    <x v="27"/>
    <n v="4477"/>
    <n v="6572507.4200000009"/>
    <n v="2626.9014468425262"/>
    <n v="1.3518691813245812E-2"/>
    <n v="1972"/>
  </r>
  <r>
    <x v="28"/>
    <x v="28"/>
    <n v="2353"/>
    <n v="6479929.1400000006"/>
    <n v="3001.3567114404818"/>
    <n v="-0.21445381533019045"/>
    <n v="1743"/>
  </r>
  <r>
    <x v="29"/>
    <x v="29"/>
    <n v="2484"/>
    <n v="6054991.3800000008"/>
    <n v="2491.7660000000005"/>
    <n v="1.6532922693891203E-2"/>
    <n v="2141"/>
  </r>
  <r>
    <x v="30"/>
    <x v="30"/>
    <n v="1997"/>
    <n v="5933303.4300000016"/>
    <n v="3131.030833773088"/>
    <n v="-5.0676744842156785E-2"/>
    <n v="1589"/>
  </r>
  <r>
    <x v="31"/>
    <x v="31"/>
    <n v="1941"/>
    <n v="5909821.9000000013"/>
    <n v="3410.1684362377387"/>
    <n v="0.15764202812510703"/>
    <n v="1526"/>
  </r>
  <r>
    <x v="32"/>
    <x v="32"/>
    <n v="2288"/>
    <n v="5533590.8500000006"/>
    <n v="2684.9057981562351"/>
    <n v="5.5377374107767482E-2"/>
    <n v="1767"/>
  </r>
  <r>
    <x v="33"/>
    <x v="33"/>
    <n v="2174"/>
    <n v="5364442.12"/>
    <n v="3091.8974755043228"/>
    <n v="3.5600497174405346E-2"/>
    <n v="1465"/>
  </r>
  <r>
    <x v="34"/>
    <x v="34"/>
    <n v="1654"/>
    <n v="5303721.410000002"/>
    <n v="3812.8838317757022"/>
    <n v="-0.13560301684734544"/>
    <n v="1158"/>
  </r>
  <r>
    <x v="35"/>
    <x v="35"/>
    <n v="1672"/>
    <n v="5229979.3600000013"/>
    <n v="3701.3300495399867"/>
    <n v="-4.0625293239384679E-2"/>
    <n v="1138"/>
  </r>
  <r>
    <x v="36"/>
    <x v="36"/>
    <n v="1814"/>
    <n v="5192256.83"/>
    <n v="3365.0400712896953"/>
    <n v="8.0538949434367263E-2"/>
    <n v="1274"/>
  </r>
  <r>
    <x v="37"/>
    <x v="37"/>
    <n v="2167"/>
    <n v="5166465.42"/>
    <n v="2474.3608333333332"/>
    <n v="5.8633748901090008E-2"/>
    <n v="1770"/>
  </r>
  <r>
    <x v="38"/>
    <x v="38"/>
    <n v="2400"/>
    <n v="5063956.24"/>
    <n v="2524.4049052841478"/>
    <n v="0.20480504917352174"/>
    <n v="1637"/>
  </r>
  <r>
    <x v="39"/>
    <x v="39"/>
    <n v="1398"/>
    <n v="4814658.8200000012"/>
    <n v="3378.7079438596502"/>
    <n v="7.3668382082470577E-2"/>
    <n v="1228"/>
  </r>
  <r>
    <x v="40"/>
    <x v="40"/>
    <n v="1880"/>
    <n v="4661440.959999999"/>
    <n v="2639.5475424688557"/>
    <n v="0.15551514829214044"/>
    <n v="1542"/>
  </r>
  <r>
    <x v="41"/>
    <x v="41"/>
    <n v="1882"/>
    <n v="4490106.25"/>
    <n v="2787.1547175667288"/>
    <n v="0.1061683511010985"/>
    <n v="1360"/>
  </r>
  <r>
    <x v="42"/>
    <x v="42"/>
    <n v="1773"/>
    <n v="4360285.62"/>
    <n v="2714.997272727273"/>
    <n v="-0.12735001357587403"/>
    <n v="1391"/>
  </r>
  <r>
    <x v="43"/>
    <x v="43"/>
    <n v="1317"/>
    <n v="3865333.46"/>
    <n v="3393.6202458296752"/>
    <n v="-0.10005204707282191"/>
    <n v="959"/>
  </r>
  <r>
    <x v="44"/>
    <x v="44"/>
    <n v="1469"/>
    <n v="3714876.99"/>
    <n v="2664.9045839311334"/>
    <n v="-8.8651062633659707E-3"/>
    <n v="1240"/>
  </r>
  <r>
    <x v="45"/>
    <x v="45"/>
    <n v="1237"/>
    <n v="3446944.1799999997"/>
    <n v="2916.1964297800337"/>
    <n v="4.7180945716027579E-2"/>
    <n v="982"/>
  </r>
  <r>
    <x v="46"/>
    <x v="46"/>
    <n v="2822"/>
    <n v="3382882.54"/>
    <n v="2852.3461551433388"/>
    <n v="1.0471809457160299"/>
    <n v="949"/>
  </r>
  <r>
    <x v="47"/>
    <x v="47"/>
    <n v="1913"/>
    <n v="3246327.89"/>
    <n v="2716.5923765690377"/>
    <n v="8.5018896315853187E-2"/>
    <n v="1109"/>
  </r>
  <r>
    <x v="48"/>
    <x v="48"/>
    <n v="1823"/>
    <n v="3151740.35"/>
    <n v="2384.0698562783664"/>
    <n v="3.4088686847672862E-2"/>
    <n v="1127"/>
  </r>
  <r>
    <x v="49"/>
    <x v="49"/>
    <n v="996"/>
    <n v="3148563.22"/>
    <n v="3525.826674132139"/>
    <n v="-8.4855629194548338E-2"/>
    <n v="694"/>
  </r>
  <r>
    <x v="50"/>
    <x v="50"/>
    <n v="1268"/>
    <n v="3125038.2099999995"/>
    <n v="2731.6767569930066"/>
    <n v="-1.2229077213433736E-2"/>
    <n v="962"/>
  </r>
  <r>
    <x v="51"/>
    <x v="51"/>
    <n v="1216"/>
    <n v="3080078.36"/>
    <n v="3329.8144432432432"/>
    <n v="0.98777092278656597"/>
    <n v="766"/>
  </r>
  <r>
    <x v="52"/>
    <x v="52"/>
    <n v="1301"/>
    <n v="2950217.5800000005"/>
    <n v="2502.304987277354"/>
    <n v="-0.24307285877887597"/>
    <n v="1016"/>
  </r>
  <r>
    <x v="53"/>
    <x v="53"/>
    <n v="996"/>
    <n v="2594455.38"/>
    <n v="2911.8466666666664"/>
    <n v="5.7171034731530505E-2"/>
    <n v="793"/>
  </r>
  <r>
    <x v="54"/>
    <x v="54"/>
    <n v="605"/>
    <n v="2503262.870000001"/>
    <n v="4117.2086677631596"/>
    <n v="-2.0174683793905225E-2"/>
    <n v="496"/>
  </r>
  <r>
    <x v="55"/>
    <x v="55"/>
    <n v="941"/>
    <n v="2277123.34"/>
    <n v="2527.3289012208656"/>
    <n v="0.12460705894897785"/>
    <n v="768"/>
  </r>
  <r>
    <x v="56"/>
    <x v="56"/>
    <m/>
    <n v="2043268.7500000005"/>
    <n v="3688.210740072203"/>
    <n v="1.1246070589489801"/>
    <n v="429"/>
  </r>
  <r>
    <x v="57"/>
    <x v="57"/>
    <n v="564"/>
    <n v="2031590.7000000002"/>
    <n v="3380.3505823627293"/>
    <n v="-0.17034902732513044"/>
    <n v="511"/>
  </r>
  <r>
    <x v="58"/>
    <x v="58"/>
    <n v="620"/>
    <n v="1751734.1"/>
    <n v="3051.801567944251"/>
    <n v="-0.11266071806249922"/>
    <n v="488"/>
  </r>
  <r>
    <x v="59"/>
    <x v="59"/>
    <n v="624"/>
    <n v="1665213.1199999996"/>
    <n v="3061.053529411764"/>
    <n v="0.887339281937501"/>
    <n v="448"/>
  </r>
  <r>
    <x v="60"/>
    <x v="60"/>
    <n v="582"/>
    <n v="1656943.71"/>
    <n v="3034.6954395604394"/>
    <n v="1.8873392819374999"/>
    <n v="446"/>
  </r>
  <r>
    <x v="61"/>
    <x v="61"/>
    <n v="659"/>
    <n v="1541409.46"/>
    <n v="2490.1606785137319"/>
    <n v="2.8873392819374999"/>
    <n v="547"/>
  </r>
  <r>
    <x v="62"/>
    <x v="62"/>
    <n v="643"/>
    <n v="1488729.27"/>
    <n v="2598.1313612565446"/>
    <n v="0.68490345547019127"/>
    <n v="535"/>
  </r>
  <r>
    <x v="63"/>
    <x v="63"/>
    <n v="349"/>
    <n v="943069.09"/>
    <n v="2733.5335942028983"/>
    <n v="0.64444197883404253"/>
    <n v="314"/>
  </r>
  <r>
    <x v="64"/>
    <x v="64"/>
    <n v="319"/>
    <n v="923457.39"/>
    <n v="2922.3335126582278"/>
    <n v="1.6444419788340401"/>
    <n v="269"/>
  </r>
  <r>
    <x v="65"/>
    <x v="65"/>
    <n v="314"/>
    <n v="909792.87999999989"/>
    <n v="3042.7855518394645"/>
    <n v="1.1372236814568462"/>
    <n v="257"/>
  </r>
  <r>
    <x v="66"/>
    <x v="66"/>
    <n v="314"/>
    <n v="887635.13"/>
    <n v="3227.7641090909092"/>
    <n v="2.240762937421778E-2"/>
    <n v="228"/>
  </r>
  <r>
    <x v="67"/>
    <x v="67"/>
    <m/>
    <n v="881068"/>
    <n v="6338.6187050359713"/>
    <n v="1.0224076293742199"/>
    <n v="124"/>
  </r>
  <r>
    <x v="68"/>
    <x v="68"/>
    <n v="340"/>
    <n v="838647.08"/>
    <n v="2662.3716825396823"/>
    <n v="0.29099824119461054"/>
    <n v="281"/>
  </r>
  <r>
    <x v="69"/>
    <x v="69"/>
    <n v="201"/>
    <n v="800176.08"/>
    <n v="3653.7720547945205"/>
    <n v="-0.15219687224687026"/>
    <n v="176"/>
  </r>
  <r>
    <x v="70"/>
    <x v="70"/>
    <n v="293"/>
    <n v="553186.47"/>
    <n v="4390.3688095238094"/>
    <n v="-0.19080664744828638"/>
    <n v="97"/>
  </r>
  <r>
    <x v="71"/>
    <x v="71"/>
    <n v="207"/>
    <n v="533829"/>
    <n v="3196.5808383233534"/>
    <n v="0.80919335255171398"/>
    <n v="145"/>
  </r>
  <r>
    <x v="72"/>
    <x v="72"/>
    <n v="194"/>
    <n v="462991.09"/>
    <n v="2502.6545405405409"/>
    <n v="1.8091933525517101"/>
    <n v="163"/>
  </r>
  <r>
    <x v="73"/>
    <x v="73"/>
    <n v="75"/>
    <n v="273281"/>
    <n v="4078.8208955223881"/>
    <n v="2.8091933525517101"/>
    <n v="57"/>
  </r>
  <r>
    <x v="74"/>
    <x v="74"/>
    <n v="47"/>
    <n v="170440.58000000002"/>
    <n v="3478.3791836734699"/>
    <n v="3.8091933525517101"/>
    <n v="43"/>
  </r>
  <r>
    <x v="75"/>
    <x v="75"/>
    <m/>
    <n v="142149"/>
    <n v="2632.3888888888887"/>
    <n v="4.8091933525517101"/>
    <n v="50"/>
  </r>
  <r>
    <x v="76"/>
    <x v="76"/>
    <n v="41"/>
    <n v="89458"/>
    <n v="2181.9024390243903"/>
    <n v="5.8091933525517101"/>
    <n v="37"/>
  </r>
  <r>
    <x v="77"/>
    <x v="77"/>
    <m/>
    <n v="69315"/>
    <n v="2310.5"/>
    <n v="6.8091933525517101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6AD81-14C4-4451-B2A4-DE98830BEC69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82" firstHeaderRow="0" firstDataRow="1" firstDataCol="1" rowPageCount="1" colPageCount="1"/>
  <pivotFields count="7">
    <pivotField axis="axisPage" showAll="0">
      <items count="79">
        <item x="68"/>
        <item x="10"/>
        <item x="67"/>
        <item x="53"/>
        <item x="49"/>
        <item x="25"/>
        <item x="38"/>
        <item x="48"/>
        <item x="34"/>
        <item x="18"/>
        <item x="64"/>
        <item x="1"/>
        <item x="44"/>
        <item x="8"/>
        <item x="65"/>
        <item x="76"/>
        <item x="59"/>
        <item x="13"/>
        <item x="63"/>
        <item x="14"/>
        <item x="74"/>
        <item x="77"/>
        <item x="45"/>
        <item x="40"/>
        <item x="0"/>
        <item x="57"/>
        <item x="52"/>
        <item x="33"/>
        <item x="69"/>
        <item x="6"/>
        <item x="58"/>
        <item x="39"/>
        <item x="54"/>
        <item x="47"/>
        <item x="23"/>
        <item x="21"/>
        <item x="20"/>
        <item x="72"/>
        <item x="7"/>
        <item x="24"/>
        <item x="12"/>
        <item x="30"/>
        <item x="16"/>
        <item x="22"/>
        <item x="51"/>
        <item x="4"/>
        <item x="62"/>
        <item x="75"/>
        <item x="19"/>
        <item x="28"/>
        <item x="42"/>
        <item x="35"/>
        <item x="46"/>
        <item x="3"/>
        <item x="11"/>
        <item x="60"/>
        <item x="37"/>
        <item x="17"/>
        <item x="50"/>
        <item x="43"/>
        <item x="32"/>
        <item x="15"/>
        <item x="55"/>
        <item x="2"/>
        <item x="29"/>
        <item x="26"/>
        <item x="36"/>
        <item x="27"/>
        <item x="70"/>
        <item x="31"/>
        <item x="41"/>
        <item x="56"/>
        <item x="66"/>
        <item x="73"/>
        <item x="5"/>
        <item x="61"/>
        <item x="71"/>
        <item x="9"/>
        <item t="default"/>
      </items>
    </pivotField>
    <pivotField axis="axisRow" numFmtId="3" showAll="0">
      <items count="79">
        <item x="77"/>
        <item x="76"/>
        <item x="74"/>
        <item x="75"/>
        <item x="73"/>
        <item x="70"/>
        <item x="67"/>
        <item x="71"/>
        <item x="72"/>
        <item x="69"/>
        <item x="66"/>
        <item x="65"/>
        <item x="68"/>
        <item x="64"/>
        <item x="63"/>
        <item x="59"/>
        <item x="60"/>
        <item x="56"/>
        <item x="62"/>
        <item x="58"/>
        <item x="57"/>
        <item x="54"/>
        <item x="61"/>
        <item x="53"/>
        <item x="49"/>
        <item x="55"/>
        <item x="51"/>
        <item x="43"/>
        <item x="50"/>
        <item x="52"/>
        <item x="45"/>
        <item x="46"/>
        <item x="47"/>
        <item x="48"/>
        <item x="34"/>
        <item x="44"/>
        <item x="35"/>
        <item x="39"/>
        <item x="36"/>
        <item x="42"/>
        <item x="41"/>
        <item x="31"/>
        <item x="33"/>
        <item x="40"/>
        <item x="30"/>
        <item x="38"/>
        <item x="32"/>
        <item x="37"/>
        <item x="19"/>
        <item x="28"/>
        <item x="11"/>
        <item x="26"/>
        <item x="29"/>
        <item x="23"/>
        <item x="27"/>
        <item x="12"/>
        <item x="20"/>
        <item x="21"/>
        <item x="10"/>
        <item x="5"/>
        <item x="24"/>
        <item x="25"/>
        <item x="17"/>
        <item x="22"/>
        <item x="15"/>
        <item x="16"/>
        <item x="13"/>
        <item x="6"/>
        <item x="18"/>
        <item x="14"/>
        <item x="3"/>
        <item x="1"/>
        <item x="9"/>
        <item x="8"/>
        <item x="7"/>
        <item x="4"/>
        <item x="2"/>
        <item x="0"/>
        <item t="default"/>
      </items>
    </pivotField>
    <pivotField showAll="0"/>
    <pivotField dataField="1" numFmtId="165" showAll="0"/>
    <pivotField dataField="1" numFmtId="165" showAll="0"/>
    <pivotField dataField="1" numFmtId="166" showAll="0"/>
    <pivotField dataField="1" numFmtId="3" showAll="0"/>
  </pivotFields>
  <rowFields count="1">
    <field x="1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a de Facturacion Ejecutada" fld="3" baseField="0" baseItem="0"/>
    <dataField name="Suma de Factura Promedio" fld="4" baseField="0" baseItem="0"/>
    <dataField name="Suma de % Crec. Anual Fact." fld="5" baseField="0" baseItem="0"/>
    <dataField name="Suma de Pacientes Ejec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E1B6007C-DB76-42D3-AD59-FDC3F5B8B7F6}" sourceName="Sucursal">
  <extLst>
    <x:ext xmlns:x15="http://schemas.microsoft.com/office/spreadsheetml/2010/11/main" uri="{2F2917AC-EB37-4324-AD4E-5DD8C200BD13}">
      <x15:tableSlicerCache tableId="10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otal_AT" xr10:uid="{3401EBF4-AE0E-47A3-9164-048ED55D75B2}" sourceName="Total AT">
  <extLst>
    <x:ext xmlns:x15="http://schemas.microsoft.com/office/spreadsheetml/2010/11/main" uri="{2F2917AC-EB37-4324-AD4E-5DD8C200BD13}">
      <x15:tableSlicerCache tableId="10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2F4A2AE1-AB92-4E78-8F36-DED2F60AE638}" cache="SegmentaciónDeDatos_Sucursal" caption="Sucursal" rowHeight="241300"/>
  <slicer name="Total AT" xr10:uid="{99234BFB-F889-4F79-AC5E-1317BA8A2F38}" cache="SegmentaciónDeDatos_Total_AT" caption="Total A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D2D540-D896-42F5-BFEC-80CB31B50663}" name="Tbl_Web" displayName="Tbl_Web" ref="A40:E71" totalsRowShown="0" headerRowDxfId="84" dataDxfId="83">
  <autoFilter ref="A40:E71" xr:uid="{CE58DD0B-026A-40E8-A7BC-B239B2403939}"/>
  <tableColumns count="5">
    <tableColumn id="1" xr3:uid="{D61E7905-7439-4E16-A845-8E20F0BB9882}" name="Dia" dataDxfId="82"/>
    <tableColumn id="2" xr3:uid="{5BF8546E-0EBB-40C6-8BAF-0E1DC42AC2A6}" name="Tiempo_Espera" dataDxfId="81"/>
    <tableColumn id="3" xr3:uid="{6EECDD8C-1BD9-4672-856F-401BA67F4C53}" name="Tiempo_Sesion" dataDxfId="80"/>
    <tableColumn id="4" xr3:uid="{784CD5E5-784F-4612-BCCD-B7C9C25B2CDC}" name="Chats_BOT" dataDxfId="79"/>
    <tableColumn id="5" xr3:uid="{B1D815A5-8871-4B9F-8C48-5483536A397B}" name="Chats_Recibidos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EF36D0-EEC4-47AC-9342-8960D07675A5}" name="Tbl_CallCenter" displayName="Tbl_CallCenter" ref="A79:G110" totalsRowShown="0" headerRowDxfId="77" dataDxfId="76">
  <autoFilter ref="A79:G110" xr:uid="{2EFA7C84-E109-416D-8DCB-F034AFE64DD3}"/>
  <tableColumns count="7">
    <tableColumn id="1" xr3:uid="{0D09CE35-CC4A-407E-894F-2391507EFB86}" name="Dia " dataDxfId="75"/>
    <tableColumn id="2" xr3:uid="{2F16522E-F5C5-451E-8400-3F362652B5CF}" name="Abandono" dataDxfId="74" dataCellStyle="Porcentaje"/>
    <tableColumn id="3" xr3:uid="{5BC229D9-6F94-415C-A934-E056E4258E6D}" name="Abandono_ Meta" dataDxfId="73" dataCellStyle="Porcentaje"/>
    <tableColumn id="4" xr3:uid="{2A236395-82E5-47CB-A35E-AE492EA24203}" name="Nivel_Servicio" dataDxfId="72" dataCellStyle="Porcentaje"/>
    <tableColumn id="5" xr3:uid="{86609849-4821-46FE-820A-72E1ABB98CBA}" name="Nivel_Servicio_Meta" dataDxfId="71" dataCellStyle="Porcentaje"/>
    <tableColumn id="6" xr3:uid="{EC9AD27B-007D-4D5C-A42D-426E038FD8D2}" name="Llamadas_Recibidas" dataDxfId="70"/>
    <tableColumn id="7" xr3:uid="{6EB8FB3E-082E-425B-AE30-FDE0372101B5}" name="Llamadas_Contestadas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FDF7D1-D758-4B93-BE80-87E49E64F5ED}" name="Tbl_App" displayName="Tbl_App" ref="A3:F34" totalsRowShown="0" headerRowDxfId="68" dataDxfId="67">
  <autoFilter ref="A3:F34" xr:uid="{B3304162-7B5A-4F88-A58A-B4B310BFD51E}"/>
  <tableColumns count="6">
    <tableColumn id="1" xr3:uid="{01F4E6A7-0C50-49BC-B25D-42CC298F5297}" name="Dia" dataDxfId="66"/>
    <tableColumn id="2" xr3:uid="{49C78A11-FA3B-4A16-880E-CAA43AAF7B64}" name="Solicitud_Aprobada" dataDxfId="65"/>
    <tableColumn id="3" xr3:uid="{FE4568D7-1273-4E13-8DC5-AB3CA6F61F75}" name="Solicitud_Declinada" dataDxfId="64"/>
    <tableColumn id="4" xr3:uid="{7FBA80CA-AE26-48C7-B932-4D7AE91DD5DC}" name="Tiempo_Espera_Promedio" dataDxfId="63"/>
    <tableColumn id="5" xr3:uid="{52AB01E3-34FD-4C31-9DFF-A53B591E6A45}" name="Tiempo_Espera_Meta" dataDxfId="62"/>
    <tableColumn id="7" xr3:uid="{7CF328F3-E579-4667-A906-1132C0126A12}" name="Total_General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653A1-BAE2-43C8-A505-24327AF17397}" name="Tabla1" displayName="Tabla1" ref="A3:I68" totalsRowShown="0" headerRowDxfId="60" tableBorderDxfId="59">
  <autoFilter ref="A3:I68" xr:uid="{7F2653A1-BAE2-43C8-A505-24327AF17397}"/>
  <tableColumns count="9">
    <tableColumn id="1" xr3:uid="{56A2AFE1-5175-4561-95A1-CD0CA6B2CDEB}" name="Mes" dataDxfId="58"/>
    <tableColumn id="2" xr3:uid="{59BCF06E-0C3C-45D7-B728-46AC41BBFA38}" name="SucursalA" dataDxfId="57"/>
    <tableColumn id="3" xr3:uid="{AE4028F5-A6AD-45B7-802B-56D9346D3977}" name="EM" dataDxfId="56"/>
    <tableColumn id="4" xr3:uid="{0D38F065-23A4-4E1C-9787-7B6EFDDDBF88}" name="AT" dataDxfId="55"/>
    <tableColumn id="5" xr3:uid="{7D34CAF9-9815-41D4-81B2-AEAE83A69594}" name="CA" dataDxfId="54"/>
    <tableColumn id="6" xr3:uid="{D31AA091-13FF-4A83-937E-AFAE6077EC28}" name="DE" dataDxfId="53"/>
    <tableColumn id="7" xr3:uid="{991AF3F0-35A1-4477-BA27-AD58DF4AAA5D}" name="TE" dataDxfId="52"/>
    <tableColumn id="8" xr3:uid="{8A32152F-9862-4EA7-AD17-7F7A0E43E8D8}" name="TA" dataDxfId="51"/>
    <tableColumn id="9" xr3:uid="{E403EB81-6F3E-47DE-9744-AEB82B5E17D0}" name="TR" dataDxfId="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B0158D-F93F-40F1-8BD5-CA521D826525}" name="Tabla_Sucursales" displayName="Tabla_Sucursales" ref="A72:I137" totalsRowShown="0" headerRowDxfId="49" tableBorderDxfId="48">
  <autoFilter ref="A72:I137" xr:uid="{27B0158D-F93F-40F1-8BD5-CA521D826525}"/>
  <tableColumns count="9">
    <tableColumn id="1" xr3:uid="{F2FB5097-91B2-4606-A1F2-EA293889DAA1}" name="Mes " dataDxfId="47"/>
    <tableColumn id="2" xr3:uid="{5AAA9F79-D24E-408D-B6EA-5EA92B069B3E}" name="Sucursal B" dataDxfId="46"/>
    <tableColumn id="3" xr3:uid="{5A2BADAC-D05A-4913-B526-C02D4E9EBE01}" name="EM" dataDxfId="45"/>
    <tableColumn id="4" xr3:uid="{E77B3030-DBF2-4519-825D-685AE0B90CC8}" name="AT" dataDxfId="44"/>
    <tableColumn id="5" xr3:uid="{7820B13D-76D5-43B3-8B2F-8D06743D0C8A}" name="CA" dataDxfId="43"/>
    <tableColumn id="6" xr3:uid="{DE06D747-26B9-456A-9D69-B925272CAABB}" name="DE" dataDxfId="42"/>
    <tableColumn id="7" xr3:uid="{AADFB9AA-1A7D-4A0B-9C4C-A2DECC4772BF}" name="TE" dataDxfId="41"/>
    <tableColumn id="8" xr3:uid="{917481D6-0673-4FFA-A828-F8AC8E484C7F}" name="TA" dataDxfId="40"/>
    <tableColumn id="9" xr3:uid="{51BBF7F6-83A0-456E-83DF-D7F5EF7F7BBE}" name="TR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59EE1B-1E35-4B08-9614-40892588E893}" name="Tbl_Sucursales" displayName="Tbl_Sucursales" ref="A143:I208" totalsRowShown="0" headerRowDxfId="38" tableBorderDxfId="37">
  <autoFilter ref="A143:I208" xr:uid="{4359EE1B-1E35-4B08-9614-40892588E893}"/>
  <tableColumns count="9">
    <tableColumn id="1" xr3:uid="{2AB644D6-1A49-4EBD-B72B-E5C0A7B85E1E}" name="Mes " dataDxfId="36"/>
    <tableColumn id="2" xr3:uid="{D8CF58C4-5D11-4267-BDF0-9F5EED667F28}" name="Sucursal C" dataDxfId="35"/>
    <tableColumn id="3" xr3:uid="{376B4813-3B36-4B5B-9E7E-AB5329B586BC}" name="EM" dataDxfId="34"/>
    <tableColumn id="4" xr3:uid="{7CEEB58D-8802-43C0-96A4-E6616629F672}" name="AT" dataDxfId="33"/>
    <tableColumn id="5" xr3:uid="{961420DC-1F7B-4ACB-95C1-DC670D9E2F2F}" name="CA" dataDxfId="32"/>
    <tableColumn id="6" xr3:uid="{9A34764C-2A95-4E92-87F0-F56FC2CD836B}" name="DE" dataDxfId="31"/>
    <tableColumn id="7" xr3:uid="{957EAE67-52C4-437C-B32B-2507BEA31D67}" name="TE" dataDxfId="30"/>
    <tableColumn id="8" xr3:uid="{5451B01C-3FAC-4DC6-BA58-EA4ECFFE9631}" name="TA" dataDxfId="29"/>
    <tableColumn id="9" xr3:uid="{0CE106D8-E486-4F10-B50C-C9899FEA1238}" name="TR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B4C799-23EF-4A0C-83DD-4347E3451F7E}" name="Tabla10" displayName="Tabla10" ref="A1:F65" totalsRowShown="0" headerRowDxfId="27">
  <autoFilter ref="A1:F65" xr:uid="{36B4C799-23EF-4A0C-83DD-4347E3451F7E}"/>
  <sortState xmlns:xlrd2="http://schemas.microsoft.com/office/spreadsheetml/2017/richdata2" ref="A2:F65">
    <sortCondition ref="A1:A65"/>
  </sortState>
  <tableColumns count="6">
    <tableColumn id="1" xr3:uid="{7DC755E9-EF4C-45D7-8199-4BBFAA97984B}" name="Sucursal"/>
    <tableColumn id="2" xr3:uid="{5168370D-6097-4424-BC3C-FECBD37AF8A0}" name="Total EM">
      <calculatedColumnFormula>SUMIF(Tabla1[SucursalA], A2, Tabla1[EM])</calculatedColumnFormula>
    </tableColumn>
    <tableColumn id="3" xr3:uid="{D1D5E6EC-3CF8-46DE-A1AB-82D7651A4EB8}" name="Total AT" dataDxfId="26">
      <calculatedColumnFormula>SUMIF(Tabla1[SucursalA], A2, Tabla1[AT])</calculatedColumnFormula>
    </tableColumn>
    <tableColumn id="4" xr3:uid="{C41C5A57-9A23-4307-B69F-1D95FD4C3E59}" name="Total CA">
      <calculatedColumnFormula>SUMIF(Tabla1[SucursalA], A2, Tabla1[CA])</calculatedColumnFormula>
    </tableColumn>
    <tableColumn id="5" xr3:uid="{ECD1A7CD-84DD-48BD-9678-0A84E7B59DEC}" name="Total DE">
      <calculatedColumnFormula>SUMIF(Tabla1[SucursalA], A2, Tabla1[DE])</calculatedColumnFormula>
    </tableColumn>
    <tableColumn id="6" xr3:uid="{B6BA2337-3FBF-49BE-BAF4-B0535192D178}" name="Promedio TE" dataDxfId="25">
      <calculatedColumnFormula>AVERAGEIF(Tabla1[SucursalA], A2, Tabla1[TE])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849811-F555-4062-9330-7239B9EE011A}" name="Tabla11" displayName="Tabla11" ref="A1:C11" totalsRowShown="0" headerRowDxfId="24" headerRowBorderDxfId="23" tableBorderDxfId="22" totalsRowBorderDxfId="21">
  <autoFilter ref="A1:C11" xr:uid="{A5849811-F555-4062-9330-7239B9EE011A}"/>
  <tableColumns count="3">
    <tableColumn id="1" xr3:uid="{F35F54A0-555E-4521-ABC8-D5A0E5B6C766}" name="Sucursal" dataDxfId="20"/>
    <tableColumn id="2" xr3:uid="{63816E91-1FF3-4F41-B6AA-F9CED0461EBB}" name="Total AT" dataDxfId="19"/>
    <tableColumn id="3" xr3:uid="{C4F33352-FF65-4C5D-AA30-E5C243981593}" name="Promedio TE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E9EBA4-0BF9-401A-A55F-885775B62B4B}" name="Tbl_Facturación" displayName="Tbl_Facturación" ref="A1:G79" totalsRowShown="0" headerRowDxfId="17" headerRowBorderDxfId="16" tableBorderDxfId="15" totalsRowBorderDxfId="14">
  <autoFilter ref="A1:G79" xr:uid="{6EE9EBA4-0BF9-401A-A55F-885775B62B4B}"/>
  <tableColumns count="7">
    <tableColumn id="1" xr3:uid="{394A4676-187F-4C10-83D5-6433F0E92F09}" name="Sucursal" dataDxfId="13"/>
    <tableColumn id="2" xr3:uid="{5D247E11-B9AD-4F27-8429-4A08524ECAA5}" name="No. de Facturas" dataDxfId="12"/>
    <tableColumn id="3" xr3:uid="{8332331E-F8D3-4086-B79B-1C1AF92CB735}" name="No. Requisiciones TM" dataDxfId="11"/>
    <tableColumn id="4" xr3:uid="{32AF9182-FE8D-4B3D-B1D4-F87A42851DF2}" name="Facturacion Ejecutada" dataDxfId="10"/>
    <tableColumn id="7" xr3:uid="{208497A8-98F0-4688-936A-CBBE50DDE02E}" name="Factura Promedio" dataDxfId="9"/>
    <tableColumn id="8" xr3:uid="{CE96C899-EEC1-43D4-83F2-DF49A43C1273}" name="% Crec. Anual Fact." dataDxfId="8"/>
    <tableColumn id="9" xr3:uid="{C12BAFC3-F217-4C56-8018-D6BCCEF19353}" name="Pacientes Ejec.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4D5E038-4565-4AB0-8BE0-66B5A41074EF}" name="Tabla13" displayName="Tabla13" ref="A1:D11" totalsRowShown="0" headerRowBorderDxfId="6" tableBorderDxfId="5" totalsRowBorderDxfId="4">
  <autoFilter ref="A1:D11" xr:uid="{14D5E038-4565-4AB0-8BE0-66B5A41074EF}"/>
  <sortState xmlns:xlrd2="http://schemas.microsoft.com/office/spreadsheetml/2017/richdata2" ref="A2:D11">
    <sortCondition descending="1" ref="C1:C11"/>
  </sortState>
  <tableColumns count="4">
    <tableColumn id="1" xr3:uid="{6913E7F2-5BF3-497A-A033-4903022EB4BA}" name="Sucursal" dataDxfId="3"/>
    <tableColumn id="2" xr3:uid="{AF667106-39F0-4E57-9BEC-050F6267C7DE}" name="No. de Facturas" dataDxfId="2"/>
    <tableColumn id="3" xr3:uid="{139AB7EE-F221-4A1B-9FE8-F0EF06FBF8D1}" name="Facturacion Ejecutada" dataDxfId="1"/>
    <tableColumn id="4" xr3:uid="{8E7EAF0B-FF53-4558-8806-204E5E9C7DFD}" name="% Crec. Anual Fact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66D7-57C9-4439-B3E5-D06E6189AAB1}">
  <dimension ref="A1:G110"/>
  <sheetViews>
    <sheetView topLeftCell="A76" zoomScale="50" zoomScaleNormal="50" workbookViewId="0">
      <selection activeCell="Q108" sqref="Q108"/>
    </sheetView>
  </sheetViews>
  <sheetFormatPr baseColWidth="10" defaultRowHeight="15" x14ac:dyDescent="0.25"/>
  <cols>
    <col min="1" max="1" width="13.140625" customWidth="1"/>
    <col min="2" max="2" width="27.5703125" customWidth="1"/>
    <col min="3" max="3" width="30.42578125" customWidth="1"/>
    <col min="4" max="4" width="37.85546875" customWidth="1"/>
    <col min="5" max="5" width="31.140625" customWidth="1"/>
    <col min="6" max="6" width="23.7109375" customWidth="1"/>
    <col min="7" max="7" width="29.140625" customWidth="1"/>
  </cols>
  <sheetData>
    <row r="1" spans="1:6" x14ac:dyDescent="0.25">
      <c r="C1" s="83" t="s">
        <v>6</v>
      </c>
      <c r="D1" s="83"/>
      <c r="E1" s="83"/>
    </row>
    <row r="2" spans="1:6" x14ac:dyDescent="0.25">
      <c r="C2" s="83"/>
      <c r="D2" s="83"/>
      <c r="E2" s="83"/>
    </row>
    <row r="3" spans="1:6" ht="21" x14ac:dyDescent="0.35">
      <c r="A3" s="1" t="s">
        <v>0</v>
      </c>
      <c r="B3" s="2" t="s">
        <v>1</v>
      </c>
      <c r="C3" s="2" t="s">
        <v>2</v>
      </c>
      <c r="D3" s="3" t="s">
        <v>3</v>
      </c>
      <c r="E3" s="19" t="s">
        <v>4</v>
      </c>
      <c r="F3" s="20" t="s">
        <v>5</v>
      </c>
    </row>
    <row r="4" spans="1:6" ht="21" x14ac:dyDescent="0.25">
      <c r="A4" s="4">
        <v>1</v>
      </c>
      <c r="B4" s="5">
        <v>0.65</v>
      </c>
      <c r="C4" s="5">
        <v>0.35</v>
      </c>
      <c r="D4" s="6">
        <v>2.9282407407407412E-3</v>
      </c>
      <c r="E4" s="6">
        <v>1.0416666666666666E-2</v>
      </c>
      <c r="F4" s="6">
        <v>398</v>
      </c>
    </row>
    <row r="5" spans="1:6" ht="21" x14ac:dyDescent="0.25">
      <c r="A5" s="4">
        <v>2</v>
      </c>
      <c r="B5" s="5">
        <v>0.68</v>
      </c>
      <c r="C5" s="5">
        <v>0.32</v>
      </c>
      <c r="D5" s="6">
        <v>2.9282407407407412E-3</v>
      </c>
      <c r="E5" s="6">
        <v>1.0416666666666666E-2</v>
      </c>
      <c r="F5" s="6">
        <v>349</v>
      </c>
    </row>
    <row r="6" spans="1:6" ht="21" x14ac:dyDescent="0.25">
      <c r="A6" s="4">
        <v>3</v>
      </c>
      <c r="B6" s="5">
        <v>0.66</v>
      </c>
      <c r="C6" s="5">
        <v>0.34</v>
      </c>
      <c r="D6" s="6">
        <v>8.6574074074074071E-3</v>
      </c>
      <c r="E6" s="6">
        <v>1.0416666666666666E-2</v>
      </c>
      <c r="F6" s="6">
        <v>198</v>
      </c>
    </row>
    <row r="7" spans="1:6" ht="21" x14ac:dyDescent="0.25">
      <c r="A7" s="4">
        <v>4</v>
      </c>
      <c r="B7" s="5">
        <v>0.68</v>
      </c>
      <c r="C7" s="5">
        <v>0.32</v>
      </c>
      <c r="D7" s="6">
        <v>9.3402777777777772E-3</v>
      </c>
      <c r="E7" s="6">
        <v>1.0416666666666666E-2</v>
      </c>
      <c r="F7" s="6">
        <v>116</v>
      </c>
    </row>
    <row r="8" spans="1:6" ht="21" x14ac:dyDescent="0.25">
      <c r="A8" s="4">
        <v>5</v>
      </c>
      <c r="B8" s="5">
        <v>0.69</v>
      </c>
      <c r="C8" s="5">
        <v>0.31</v>
      </c>
      <c r="D8" s="6">
        <v>8.7962962962962962E-4</v>
      </c>
      <c r="E8" s="6">
        <v>1.0416666666666666E-2</v>
      </c>
      <c r="F8" s="6">
        <v>178</v>
      </c>
    </row>
    <row r="9" spans="1:6" ht="21" x14ac:dyDescent="0.25">
      <c r="A9" s="4">
        <v>6</v>
      </c>
      <c r="B9" s="5">
        <v>0.65</v>
      </c>
      <c r="C9" s="5">
        <v>0.35</v>
      </c>
      <c r="D9" s="6">
        <v>7.3495370370370372E-3</v>
      </c>
      <c r="E9" s="6">
        <v>1.0416666666666666E-2</v>
      </c>
      <c r="F9" s="6">
        <v>372</v>
      </c>
    </row>
    <row r="10" spans="1:6" ht="21" x14ac:dyDescent="0.25">
      <c r="A10" s="4">
        <v>7</v>
      </c>
      <c r="B10" s="5">
        <v>0.67</v>
      </c>
      <c r="C10" s="5">
        <v>0.34</v>
      </c>
      <c r="D10" s="6">
        <v>4.6990740740740743E-3</v>
      </c>
      <c r="E10" s="6">
        <v>1.0416666666666666E-2</v>
      </c>
      <c r="F10" s="6">
        <v>435</v>
      </c>
    </row>
    <row r="11" spans="1:6" ht="21" x14ac:dyDescent="0.25">
      <c r="A11" s="4">
        <v>8</v>
      </c>
      <c r="B11" s="5">
        <v>0.64</v>
      </c>
      <c r="C11" s="5">
        <v>0.36</v>
      </c>
      <c r="D11" s="6">
        <v>2.1053240740740744E-2</v>
      </c>
      <c r="E11" s="6">
        <v>1.0416666666666666E-2</v>
      </c>
      <c r="F11" s="6">
        <v>378</v>
      </c>
    </row>
    <row r="12" spans="1:6" ht="21" x14ac:dyDescent="0.25">
      <c r="A12" s="4">
        <v>9</v>
      </c>
      <c r="B12" s="5">
        <v>0.68</v>
      </c>
      <c r="C12" s="5">
        <v>0.32</v>
      </c>
      <c r="D12" s="6">
        <v>3.9699074074074072E-3</v>
      </c>
      <c r="E12" s="6">
        <v>1.0416666666666666E-2</v>
      </c>
      <c r="F12" s="6">
        <v>374</v>
      </c>
    </row>
    <row r="13" spans="1:6" ht="21" x14ac:dyDescent="0.25">
      <c r="A13" s="4">
        <v>10</v>
      </c>
      <c r="B13" s="5">
        <v>0.63</v>
      </c>
      <c r="C13" s="5">
        <v>0.37</v>
      </c>
      <c r="D13" s="6">
        <v>5.4050925925925924E-3</v>
      </c>
      <c r="E13" s="6">
        <v>1.0416666666666666E-2</v>
      </c>
      <c r="F13" s="6">
        <v>243</v>
      </c>
    </row>
    <row r="14" spans="1:6" ht="21" x14ac:dyDescent="0.25">
      <c r="A14" s="4">
        <v>11</v>
      </c>
      <c r="B14" s="5">
        <v>0.69</v>
      </c>
      <c r="C14" s="5">
        <v>0.31</v>
      </c>
      <c r="D14" s="6">
        <v>4.8611111111111104E-4</v>
      </c>
      <c r="E14" s="6">
        <v>1.0416666666666666E-2</v>
      </c>
      <c r="F14" s="6">
        <v>135</v>
      </c>
    </row>
    <row r="15" spans="1:6" ht="21" x14ac:dyDescent="0.25">
      <c r="A15" s="4">
        <v>12</v>
      </c>
      <c r="B15" s="5">
        <v>0.72</v>
      </c>
      <c r="C15" s="5">
        <v>0.28000000000000003</v>
      </c>
      <c r="D15" s="6">
        <v>1.4930555555555556E-3</v>
      </c>
      <c r="E15" s="6">
        <v>1.0416666666666666E-2</v>
      </c>
      <c r="F15" s="6">
        <v>401</v>
      </c>
    </row>
    <row r="16" spans="1:6" ht="21" x14ac:dyDescent="0.25">
      <c r="A16" s="4">
        <v>13</v>
      </c>
      <c r="B16" s="5">
        <v>0.63</v>
      </c>
      <c r="C16" s="5">
        <v>0.36</v>
      </c>
      <c r="D16" s="6">
        <v>9.7916666666666655E-3</v>
      </c>
      <c r="E16" s="6">
        <v>1.0416666666666666E-2</v>
      </c>
      <c r="F16" s="6">
        <v>427</v>
      </c>
    </row>
    <row r="17" spans="1:6" ht="21" x14ac:dyDescent="0.25">
      <c r="A17" s="4">
        <v>14</v>
      </c>
      <c r="B17" s="5">
        <v>0.66</v>
      </c>
      <c r="C17" s="5">
        <v>0.34</v>
      </c>
      <c r="D17" s="6">
        <v>2.0370370370370373E-3</v>
      </c>
      <c r="E17" s="6">
        <v>1.0416666666666666E-2</v>
      </c>
      <c r="F17" s="6">
        <v>408</v>
      </c>
    </row>
    <row r="18" spans="1:6" ht="21" x14ac:dyDescent="0.25">
      <c r="A18" s="4">
        <v>15</v>
      </c>
      <c r="B18" s="5">
        <v>0.62</v>
      </c>
      <c r="C18" s="5">
        <v>0.38</v>
      </c>
      <c r="D18" s="6">
        <v>1.8402777777777777E-3</v>
      </c>
      <c r="E18" s="6">
        <v>1.0416666666666666E-2</v>
      </c>
      <c r="F18" s="6">
        <v>326</v>
      </c>
    </row>
    <row r="19" spans="1:6" ht="21" x14ac:dyDescent="0.25">
      <c r="A19" s="4">
        <v>16</v>
      </c>
      <c r="B19" s="5">
        <v>0.67</v>
      </c>
      <c r="C19" s="5">
        <v>0.33</v>
      </c>
      <c r="D19" s="6">
        <v>2.685185185185185E-3</v>
      </c>
      <c r="E19" s="6">
        <v>1.0416666666666666E-2</v>
      </c>
      <c r="F19" s="6">
        <v>331</v>
      </c>
    </row>
    <row r="20" spans="1:6" ht="21" x14ac:dyDescent="0.25">
      <c r="A20" s="4">
        <v>17</v>
      </c>
      <c r="B20" s="5">
        <v>0.64</v>
      </c>
      <c r="C20" s="5">
        <v>0.36</v>
      </c>
      <c r="D20" s="6">
        <v>7.4421296296296293E-3</v>
      </c>
      <c r="E20" s="6">
        <v>1.0416666666666666E-2</v>
      </c>
      <c r="F20" s="6">
        <v>186</v>
      </c>
    </row>
    <row r="21" spans="1:6" ht="21" x14ac:dyDescent="0.25">
      <c r="A21" s="4">
        <v>18</v>
      </c>
      <c r="B21" s="5">
        <v>0.65</v>
      </c>
      <c r="C21" s="5">
        <v>0.35</v>
      </c>
      <c r="D21" s="6">
        <v>6.8287037037037025E-4</v>
      </c>
      <c r="E21" s="6">
        <v>1.0416666666666666E-2</v>
      </c>
      <c r="F21" s="6">
        <v>144</v>
      </c>
    </row>
    <row r="22" spans="1:6" ht="21" x14ac:dyDescent="0.25">
      <c r="A22" s="4">
        <v>19</v>
      </c>
      <c r="B22" s="5">
        <v>0.65</v>
      </c>
      <c r="C22" s="5">
        <v>0.35</v>
      </c>
      <c r="D22" s="6">
        <v>2.0254629629629629E-3</v>
      </c>
      <c r="E22" s="6">
        <v>1.0416666666666666E-2</v>
      </c>
      <c r="F22" s="6">
        <v>338</v>
      </c>
    </row>
    <row r="23" spans="1:6" ht="21" x14ac:dyDescent="0.25">
      <c r="A23" s="4">
        <v>20</v>
      </c>
      <c r="B23" s="5">
        <v>0.62</v>
      </c>
      <c r="C23" s="5">
        <v>0.38</v>
      </c>
      <c r="D23" s="6">
        <v>2.4421296296296296E-3</v>
      </c>
      <c r="E23" s="6">
        <v>1.0416666666666666E-2</v>
      </c>
      <c r="F23" s="6">
        <v>386</v>
      </c>
    </row>
    <row r="24" spans="1:6" ht="21" x14ac:dyDescent="0.25">
      <c r="A24" s="4">
        <v>21</v>
      </c>
      <c r="B24" s="5">
        <v>0.66</v>
      </c>
      <c r="C24" s="5">
        <v>0.34</v>
      </c>
      <c r="D24" s="6">
        <v>3.2291666666666666E-3</v>
      </c>
      <c r="E24" s="6">
        <v>1.0416666666666666E-2</v>
      </c>
      <c r="F24" s="6">
        <v>395</v>
      </c>
    </row>
    <row r="25" spans="1:6" ht="21" x14ac:dyDescent="0.25">
      <c r="A25" s="4">
        <v>22</v>
      </c>
      <c r="B25" s="5">
        <v>0.66</v>
      </c>
      <c r="C25" s="5">
        <v>0.34</v>
      </c>
      <c r="D25" s="6">
        <v>2.6620370370370374E-3</v>
      </c>
      <c r="E25" s="6">
        <v>1.0416666666666666E-2</v>
      </c>
      <c r="F25" s="6">
        <v>365</v>
      </c>
    </row>
    <row r="26" spans="1:6" ht="21" x14ac:dyDescent="0.25">
      <c r="A26" s="4">
        <v>23</v>
      </c>
      <c r="B26" s="5">
        <v>0.61</v>
      </c>
      <c r="C26" s="5">
        <v>0.39</v>
      </c>
      <c r="D26" s="6">
        <v>3.4490740740740745E-3</v>
      </c>
      <c r="E26" s="6">
        <v>1.0416666666666666E-2</v>
      </c>
      <c r="F26" s="6">
        <v>329</v>
      </c>
    </row>
    <row r="27" spans="1:6" ht="21" x14ac:dyDescent="0.25">
      <c r="A27" s="4">
        <v>24</v>
      </c>
      <c r="B27" s="5">
        <v>0.63</v>
      </c>
      <c r="C27" s="5">
        <v>0.37</v>
      </c>
      <c r="D27" s="6">
        <v>9.3750000000000007E-4</v>
      </c>
      <c r="E27" s="6">
        <v>1.0416666666666666E-2</v>
      </c>
      <c r="F27" s="6">
        <v>182</v>
      </c>
    </row>
    <row r="28" spans="1:6" ht="21" x14ac:dyDescent="0.25">
      <c r="A28" s="4">
        <v>25</v>
      </c>
      <c r="B28" s="5">
        <v>0.66</v>
      </c>
      <c r="C28" s="5">
        <v>0.34</v>
      </c>
      <c r="D28" s="6">
        <v>3.7037037037037035E-4</v>
      </c>
      <c r="E28" s="6">
        <v>1.0416666666666666E-2</v>
      </c>
      <c r="F28" s="6">
        <v>94</v>
      </c>
    </row>
    <row r="29" spans="1:6" ht="21" x14ac:dyDescent="0.25">
      <c r="A29" s="4">
        <v>26</v>
      </c>
      <c r="B29" s="5">
        <v>0.61</v>
      </c>
      <c r="C29" s="5">
        <v>0.39</v>
      </c>
      <c r="D29" s="6">
        <v>4.0972222222222226E-3</v>
      </c>
      <c r="E29" s="6">
        <v>1.0416666666666666E-2</v>
      </c>
      <c r="F29" s="6">
        <v>420</v>
      </c>
    </row>
    <row r="30" spans="1:6" ht="21" x14ac:dyDescent="0.25">
      <c r="A30" s="4">
        <v>27</v>
      </c>
      <c r="B30" s="5">
        <v>0.61</v>
      </c>
      <c r="C30" s="5">
        <v>0.39</v>
      </c>
      <c r="D30" s="6">
        <v>2.9282407407407412E-3</v>
      </c>
      <c r="E30" s="6">
        <v>1.0416666666666666E-2</v>
      </c>
      <c r="F30" s="6">
        <v>399</v>
      </c>
    </row>
    <row r="31" spans="1:6" ht="21" x14ac:dyDescent="0.25">
      <c r="A31" s="4">
        <v>28</v>
      </c>
      <c r="B31" s="5">
        <v>0.57999999999999996</v>
      </c>
      <c r="C31" s="5">
        <v>0.42</v>
      </c>
      <c r="D31" s="6">
        <v>3.2754629629629631E-3</v>
      </c>
      <c r="E31" s="6">
        <v>1.0416666666666666E-2</v>
      </c>
      <c r="F31" s="6">
        <v>437</v>
      </c>
    </row>
    <row r="32" spans="1:6" ht="21" x14ac:dyDescent="0.25">
      <c r="A32" s="4">
        <v>29</v>
      </c>
      <c r="B32" s="5">
        <v>0.61</v>
      </c>
      <c r="C32" s="5">
        <v>0.38</v>
      </c>
      <c r="D32" s="6">
        <v>3.9004629629629632E-3</v>
      </c>
      <c r="E32" s="6">
        <v>1.0416666666666666E-2</v>
      </c>
      <c r="F32" s="6">
        <v>378</v>
      </c>
    </row>
    <row r="33" spans="1:6" ht="21" x14ac:dyDescent="0.25">
      <c r="A33" s="4">
        <v>30</v>
      </c>
      <c r="B33" s="5">
        <v>0.63</v>
      </c>
      <c r="C33" s="5">
        <v>0.37</v>
      </c>
      <c r="D33" s="6">
        <v>2.5000000000000001E-3</v>
      </c>
      <c r="E33" s="6">
        <v>1.0416666666666666E-2</v>
      </c>
      <c r="F33" s="6">
        <v>343</v>
      </c>
    </row>
    <row r="34" spans="1:6" ht="21" x14ac:dyDescent="0.25">
      <c r="A34" s="4">
        <v>31</v>
      </c>
      <c r="B34" s="5">
        <v>0.62</v>
      </c>
      <c r="C34" s="5">
        <v>0.38</v>
      </c>
      <c r="D34" s="6">
        <v>4.6296296296296302E-3</v>
      </c>
      <c r="E34" s="6">
        <v>1.0416666666666666E-2</v>
      </c>
      <c r="F34" s="6">
        <v>190</v>
      </c>
    </row>
    <row r="38" spans="1:6" ht="26.25" x14ac:dyDescent="0.25">
      <c r="B38" s="83" t="s">
        <v>7</v>
      </c>
      <c r="C38" s="83"/>
      <c r="D38" s="83"/>
      <c r="E38" s="7"/>
    </row>
    <row r="39" spans="1:6" ht="26.25" x14ac:dyDescent="0.25">
      <c r="B39" s="83"/>
      <c r="C39" s="83"/>
      <c r="D39" s="83"/>
      <c r="E39" s="7"/>
    </row>
    <row r="40" spans="1:6" ht="21" x14ac:dyDescent="0.25">
      <c r="A40" s="8" t="s">
        <v>0</v>
      </c>
      <c r="B40" s="8" t="s">
        <v>8</v>
      </c>
      <c r="C40" s="8" t="s">
        <v>9</v>
      </c>
      <c r="D40" s="8" t="s">
        <v>10</v>
      </c>
      <c r="E40" s="8" t="s">
        <v>11</v>
      </c>
    </row>
    <row r="41" spans="1:6" ht="21" x14ac:dyDescent="0.25">
      <c r="A41" s="4">
        <v>1</v>
      </c>
      <c r="B41" s="9">
        <v>5.6018518518518518E-3</v>
      </c>
      <c r="C41" s="9">
        <v>1.1886574074074075E-2</v>
      </c>
      <c r="D41" s="8">
        <v>1134</v>
      </c>
      <c r="E41" s="8">
        <v>442</v>
      </c>
    </row>
    <row r="42" spans="1:6" ht="21" x14ac:dyDescent="0.25">
      <c r="A42" s="4">
        <v>2</v>
      </c>
      <c r="B42" s="9">
        <v>8.8310185185185176E-3</v>
      </c>
      <c r="C42" s="9">
        <v>1.5578703703703704E-2</v>
      </c>
      <c r="D42" s="8">
        <v>992</v>
      </c>
      <c r="E42" s="8">
        <v>462</v>
      </c>
    </row>
    <row r="43" spans="1:6" ht="21" x14ac:dyDescent="0.25">
      <c r="A43" s="4">
        <v>3</v>
      </c>
      <c r="B43" s="9">
        <v>1.0023148148148147E-2</v>
      </c>
      <c r="C43" s="9">
        <v>1.5879629629629629E-2</v>
      </c>
      <c r="D43" s="8">
        <v>592</v>
      </c>
      <c r="E43" s="8">
        <v>273</v>
      </c>
    </row>
    <row r="44" spans="1:6" ht="21" x14ac:dyDescent="0.25">
      <c r="A44" s="4">
        <v>4</v>
      </c>
      <c r="B44" s="9">
        <v>2.3726851851851851E-3</v>
      </c>
      <c r="C44" s="9">
        <v>1.1608796296296296E-2</v>
      </c>
      <c r="D44" s="8">
        <v>338</v>
      </c>
      <c r="E44" s="8">
        <v>145</v>
      </c>
    </row>
    <row r="45" spans="1:6" ht="21" x14ac:dyDescent="0.25">
      <c r="A45" s="4">
        <v>5</v>
      </c>
      <c r="B45" s="9">
        <v>4.8958333333333328E-3</v>
      </c>
      <c r="C45" s="9">
        <v>1.3055555555555556E-2</v>
      </c>
      <c r="D45" s="8">
        <v>529</v>
      </c>
      <c r="E45" s="8">
        <v>204</v>
      </c>
    </row>
    <row r="46" spans="1:6" ht="21" x14ac:dyDescent="0.25">
      <c r="A46" s="4">
        <v>6</v>
      </c>
      <c r="B46" s="9">
        <v>1.1006944444444444E-2</v>
      </c>
      <c r="C46" s="9">
        <v>1.3726851851851851E-2</v>
      </c>
      <c r="D46" s="8">
        <v>1551</v>
      </c>
      <c r="E46" s="8">
        <v>525</v>
      </c>
    </row>
    <row r="47" spans="1:6" ht="21" x14ac:dyDescent="0.25">
      <c r="A47" s="4">
        <v>7</v>
      </c>
      <c r="B47" s="9">
        <v>3.8310185185185183E-3</v>
      </c>
      <c r="C47" s="9">
        <v>1.1979166666666666E-2</v>
      </c>
      <c r="D47" s="8">
        <v>1389</v>
      </c>
      <c r="E47" s="8">
        <v>540</v>
      </c>
    </row>
    <row r="48" spans="1:6" ht="21" x14ac:dyDescent="0.25">
      <c r="A48" s="4">
        <v>8</v>
      </c>
      <c r="B48" s="9">
        <v>2.1064814814814813E-3</v>
      </c>
      <c r="C48" s="9">
        <v>1.2546296296296297E-2</v>
      </c>
      <c r="D48" s="8">
        <v>1220</v>
      </c>
      <c r="E48" s="8">
        <v>537</v>
      </c>
    </row>
    <row r="49" spans="1:5" ht="21" x14ac:dyDescent="0.25">
      <c r="A49" s="4">
        <v>9</v>
      </c>
      <c r="B49" s="9">
        <v>3.7847222222222223E-3</v>
      </c>
      <c r="C49" s="9">
        <v>1.375E-2</v>
      </c>
      <c r="D49" s="8">
        <v>1154</v>
      </c>
      <c r="E49" s="8">
        <v>532</v>
      </c>
    </row>
    <row r="50" spans="1:5" ht="21" x14ac:dyDescent="0.25">
      <c r="A50" s="4">
        <v>10</v>
      </c>
      <c r="B50" s="9">
        <v>2.615740740740741E-3</v>
      </c>
      <c r="C50" s="9">
        <v>1.4363425925925925E-2</v>
      </c>
      <c r="D50" s="8">
        <v>597</v>
      </c>
      <c r="E50" s="8">
        <v>303</v>
      </c>
    </row>
    <row r="51" spans="1:5" ht="21" x14ac:dyDescent="0.25">
      <c r="A51" s="4">
        <v>11</v>
      </c>
      <c r="B51" s="9">
        <v>4.3287037037037035E-3</v>
      </c>
      <c r="C51" s="9">
        <v>1.4872685185185185E-2</v>
      </c>
      <c r="D51" s="8">
        <v>363</v>
      </c>
      <c r="E51" s="8">
        <v>161</v>
      </c>
    </row>
    <row r="52" spans="1:5" ht="21" x14ac:dyDescent="0.25">
      <c r="A52" s="4">
        <v>12</v>
      </c>
      <c r="B52" s="9">
        <v>2.3148148148148151E-3</v>
      </c>
      <c r="C52" s="9">
        <v>1.2939814814814814E-2</v>
      </c>
      <c r="D52" s="8">
        <v>1361</v>
      </c>
      <c r="E52" s="8">
        <v>579</v>
      </c>
    </row>
    <row r="53" spans="1:5" ht="21" x14ac:dyDescent="0.25">
      <c r="A53" s="4">
        <v>13</v>
      </c>
      <c r="B53" s="9">
        <v>5.5555555555555558E-3</v>
      </c>
      <c r="C53" s="9">
        <v>1.5555555555555553E-2</v>
      </c>
      <c r="D53" s="8">
        <v>1318</v>
      </c>
      <c r="E53" s="8">
        <v>594</v>
      </c>
    </row>
    <row r="54" spans="1:5" ht="21" x14ac:dyDescent="0.25">
      <c r="A54" s="4">
        <v>14</v>
      </c>
      <c r="B54" s="9">
        <v>2.4652777777777776E-3</v>
      </c>
      <c r="C54" s="9">
        <v>1.2916666666666667E-2</v>
      </c>
      <c r="D54" s="8">
        <v>1295</v>
      </c>
      <c r="E54" s="8">
        <v>529</v>
      </c>
    </row>
    <row r="55" spans="1:5" ht="21" x14ac:dyDescent="0.25">
      <c r="A55" s="4">
        <v>15</v>
      </c>
      <c r="B55" s="9">
        <v>1.9212962962962962E-3</v>
      </c>
      <c r="C55" s="9">
        <v>1.2268518518518519E-2</v>
      </c>
      <c r="D55" s="8">
        <v>1200</v>
      </c>
      <c r="E55" s="8">
        <v>513</v>
      </c>
    </row>
    <row r="56" spans="1:5" ht="21" x14ac:dyDescent="0.25">
      <c r="A56" s="4">
        <v>16</v>
      </c>
      <c r="B56" s="9">
        <v>2.2569444444444447E-3</v>
      </c>
      <c r="C56" s="9">
        <v>1.3854166666666666E-2</v>
      </c>
      <c r="D56" s="8">
        <v>953</v>
      </c>
      <c r="E56" s="8">
        <v>478</v>
      </c>
    </row>
    <row r="57" spans="1:5" ht="21" x14ac:dyDescent="0.25">
      <c r="A57" s="4">
        <v>17</v>
      </c>
      <c r="B57" s="9">
        <v>2.7546296296296294E-3</v>
      </c>
      <c r="C57" s="9">
        <v>2.6273148148148153E-2</v>
      </c>
      <c r="D57" s="8">
        <v>540</v>
      </c>
      <c r="E57" s="8">
        <v>258</v>
      </c>
    </row>
    <row r="58" spans="1:5" ht="21" x14ac:dyDescent="0.25">
      <c r="A58" s="4">
        <v>18</v>
      </c>
      <c r="B58" s="9">
        <v>1.8518518518518517E-3</v>
      </c>
      <c r="C58" s="9">
        <v>4.2256944444444444E-2</v>
      </c>
      <c r="D58" s="8">
        <v>316</v>
      </c>
      <c r="E58" s="8">
        <v>136</v>
      </c>
    </row>
    <row r="59" spans="1:5" ht="21" x14ac:dyDescent="0.25">
      <c r="A59" s="4">
        <v>19</v>
      </c>
      <c r="B59" s="9">
        <v>5.3587962962962964E-3</v>
      </c>
      <c r="C59" s="9">
        <v>1.6192129629629629E-2</v>
      </c>
      <c r="D59" s="8">
        <v>1212</v>
      </c>
      <c r="E59" s="8">
        <v>552</v>
      </c>
    </row>
    <row r="60" spans="1:5" ht="21" x14ac:dyDescent="0.25">
      <c r="A60" s="4">
        <v>20</v>
      </c>
      <c r="B60" s="9">
        <v>3.2638888888888891E-3</v>
      </c>
      <c r="C60" s="9">
        <v>1.3668981481481482E-2</v>
      </c>
      <c r="D60" s="8">
        <v>1153</v>
      </c>
      <c r="E60" s="8">
        <v>597</v>
      </c>
    </row>
    <row r="61" spans="1:5" ht="21" x14ac:dyDescent="0.25">
      <c r="A61" s="4">
        <v>21</v>
      </c>
      <c r="B61" s="9">
        <v>3.3449074074074071E-3</v>
      </c>
      <c r="C61" s="9">
        <v>1.3032407407407407E-2</v>
      </c>
      <c r="D61" s="8">
        <v>1050</v>
      </c>
      <c r="E61" s="8">
        <v>478</v>
      </c>
    </row>
    <row r="62" spans="1:5" ht="21" x14ac:dyDescent="0.25">
      <c r="A62" s="4">
        <v>22</v>
      </c>
      <c r="B62" s="9">
        <v>2.1296296296296298E-3</v>
      </c>
      <c r="C62" s="9">
        <v>1.3032407407407407E-2</v>
      </c>
      <c r="D62" s="8">
        <v>1053</v>
      </c>
      <c r="E62" s="8">
        <v>453</v>
      </c>
    </row>
    <row r="63" spans="1:5" ht="21" x14ac:dyDescent="0.25">
      <c r="A63" s="4">
        <v>23</v>
      </c>
      <c r="B63" s="9">
        <v>2.0949074074074073E-3</v>
      </c>
      <c r="C63" s="9">
        <v>1.3541666666666667E-2</v>
      </c>
      <c r="D63" s="8">
        <v>885</v>
      </c>
      <c r="E63" s="8">
        <v>442</v>
      </c>
    </row>
    <row r="64" spans="1:5" ht="21" x14ac:dyDescent="0.25">
      <c r="A64" s="4">
        <v>24</v>
      </c>
      <c r="B64" s="9">
        <v>2.5810185185185185E-3</v>
      </c>
      <c r="C64" s="9">
        <v>1.3958333333333335E-2</v>
      </c>
      <c r="D64" s="8">
        <v>495</v>
      </c>
      <c r="E64" s="8">
        <v>216</v>
      </c>
    </row>
    <row r="65" spans="1:7" ht="21" x14ac:dyDescent="0.25">
      <c r="A65" s="4">
        <v>25</v>
      </c>
      <c r="B65" s="9">
        <v>1.2731481481481483E-3</v>
      </c>
      <c r="C65" s="9">
        <v>1.1064814814814814E-2</v>
      </c>
      <c r="D65" s="8">
        <v>204</v>
      </c>
      <c r="E65" s="8">
        <v>101</v>
      </c>
    </row>
    <row r="66" spans="1:7" ht="21" x14ac:dyDescent="0.25">
      <c r="A66" s="4">
        <v>26</v>
      </c>
      <c r="B66" s="9">
        <v>4.6990740740740743E-3</v>
      </c>
      <c r="C66" s="9">
        <v>1.8530092592592595E-2</v>
      </c>
      <c r="D66" s="8">
        <v>1171</v>
      </c>
      <c r="E66" s="8">
        <v>518</v>
      </c>
    </row>
    <row r="67" spans="1:7" ht="21" x14ac:dyDescent="0.25">
      <c r="A67" s="4">
        <v>27</v>
      </c>
      <c r="B67" s="9">
        <v>4.0509259259259257E-3</v>
      </c>
      <c r="C67" s="9">
        <v>1.5879629629629629E-2</v>
      </c>
      <c r="D67" s="8">
        <v>1160</v>
      </c>
      <c r="E67" s="8">
        <v>555</v>
      </c>
    </row>
    <row r="68" spans="1:7" ht="21" x14ac:dyDescent="0.25">
      <c r="A68" s="4">
        <v>28</v>
      </c>
      <c r="B68" s="9">
        <v>2.4421296296296296E-3</v>
      </c>
      <c r="C68" s="9">
        <v>1.4085648148148151E-2</v>
      </c>
      <c r="D68" s="8">
        <v>1128</v>
      </c>
      <c r="E68" s="8">
        <v>553</v>
      </c>
    </row>
    <row r="69" spans="1:7" ht="21" x14ac:dyDescent="0.25">
      <c r="A69" s="4">
        <v>29</v>
      </c>
      <c r="B69" s="9">
        <v>2.6504629629629625E-3</v>
      </c>
      <c r="C69" s="9">
        <v>1.4097222222222221E-2</v>
      </c>
      <c r="D69" s="8">
        <v>1004</v>
      </c>
      <c r="E69" s="8">
        <v>484</v>
      </c>
    </row>
    <row r="70" spans="1:7" ht="21" x14ac:dyDescent="0.25">
      <c r="A70" s="4">
        <v>30</v>
      </c>
      <c r="B70" s="9">
        <v>4.8495370370370368E-3</v>
      </c>
      <c r="C70" s="9">
        <v>1.0358796296296295E-2</v>
      </c>
      <c r="D70" s="8">
        <v>1053</v>
      </c>
      <c r="E70" s="8">
        <v>538</v>
      </c>
    </row>
    <row r="71" spans="1:7" ht="21" x14ac:dyDescent="0.25">
      <c r="A71" s="4">
        <v>31</v>
      </c>
      <c r="B71" s="9">
        <v>4.9074074074074072E-3</v>
      </c>
      <c r="C71" s="9">
        <v>2.0277777777777777E-2</v>
      </c>
      <c r="D71" s="8">
        <v>629</v>
      </c>
      <c r="E71" s="8">
        <v>358</v>
      </c>
    </row>
    <row r="77" spans="1:7" x14ac:dyDescent="0.25">
      <c r="C77" s="84" t="s">
        <v>12</v>
      </c>
      <c r="D77" s="84"/>
      <c r="E77" s="84"/>
      <c r="F77" s="84"/>
    </row>
    <row r="78" spans="1:7" x14ac:dyDescent="0.25">
      <c r="C78" s="84"/>
      <c r="D78" s="84"/>
      <c r="E78" s="84"/>
      <c r="F78" s="84"/>
    </row>
    <row r="79" spans="1:7" ht="21" x14ac:dyDescent="0.25">
      <c r="A79" s="12" t="s">
        <v>18</v>
      </c>
      <c r="B79" s="8" t="s">
        <v>19</v>
      </c>
      <c r="C79" s="8" t="s">
        <v>13</v>
      </c>
      <c r="D79" s="8" t="s">
        <v>14</v>
      </c>
      <c r="E79" s="8" t="s">
        <v>15</v>
      </c>
      <c r="F79" s="8" t="s">
        <v>16</v>
      </c>
      <c r="G79" s="8" t="s">
        <v>17</v>
      </c>
    </row>
    <row r="80" spans="1:7" ht="21" x14ac:dyDescent="0.25">
      <c r="A80" s="4">
        <v>1</v>
      </c>
      <c r="B80" s="11">
        <v>0.59</v>
      </c>
      <c r="C80" s="10">
        <v>0.15</v>
      </c>
      <c r="D80" s="11">
        <v>0.10680000000000001</v>
      </c>
      <c r="E80" s="10">
        <v>0.8</v>
      </c>
      <c r="F80" s="8">
        <v>871</v>
      </c>
      <c r="G80" s="8">
        <v>353</v>
      </c>
    </row>
    <row r="81" spans="1:7" ht="21" x14ac:dyDescent="0.25">
      <c r="A81" s="4">
        <v>2</v>
      </c>
      <c r="B81" s="11">
        <v>0.52</v>
      </c>
      <c r="C81" s="10">
        <v>0.15</v>
      </c>
      <c r="D81" s="11">
        <v>0.1799</v>
      </c>
      <c r="E81" s="10">
        <v>0.8</v>
      </c>
      <c r="F81" s="8">
        <v>806</v>
      </c>
      <c r="G81" s="8">
        <v>376</v>
      </c>
    </row>
    <row r="82" spans="1:7" ht="21" x14ac:dyDescent="0.25">
      <c r="A82" s="4">
        <v>3</v>
      </c>
      <c r="B82" s="11">
        <v>0.34</v>
      </c>
      <c r="C82" s="10">
        <v>0.15</v>
      </c>
      <c r="D82" s="11">
        <v>0.35449999999999998</v>
      </c>
      <c r="E82" s="10">
        <v>0.8</v>
      </c>
      <c r="F82" s="8">
        <v>505</v>
      </c>
      <c r="G82" s="8">
        <v>330</v>
      </c>
    </row>
    <row r="83" spans="1:7" ht="21" x14ac:dyDescent="0.25">
      <c r="A83" s="4">
        <v>4</v>
      </c>
      <c r="B83" s="11">
        <v>2.5999999999999999E-2</v>
      </c>
      <c r="C83" s="10">
        <v>0.15</v>
      </c>
      <c r="D83" s="11">
        <v>0.86</v>
      </c>
      <c r="E83" s="10">
        <v>0.8</v>
      </c>
      <c r="F83" s="8">
        <v>231</v>
      </c>
      <c r="G83" s="8">
        <v>225</v>
      </c>
    </row>
    <row r="84" spans="1:7" ht="21" x14ac:dyDescent="0.25">
      <c r="A84" s="4">
        <v>5</v>
      </c>
      <c r="B84" s="11">
        <v>7.0000000000000007E-2</v>
      </c>
      <c r="C84" s="10">
        <v>0.15</v>
      </c>
      <c r="D84" s="11">
        <v>0.8</v>
      </c>
      <c r="E84" s="10">
        <v>0.8</v>
      </c>
      <c r="F84" s="8">
        <v>508</v>
      </c>
      <c r="G84" s="8">
        <v>468</v>
      </c>
    </row>
    <row r="85" spans="1:7" ht="21" x14ac:dyDescent="0.25">
      <c r="A85" s="4">
        <v>6</v>
      </c>
      <c r="B85" s="11">
        <v>0.63560000000000005</v>
      </c>
      <c r="C85" s="10">
        <v>0.15</v>
      </c>
      <c r="D85" s="11">
        <v>5.7599999999999998E-2</v>
      </c>
      <c r="E85" s="10">
        <v>0.8</v>
      </c>
      <c r="F85" s="8">
        <v>1180</v>
      </c>
      <c r="G85" s="8">
        <v>430</v>
      </c>
    </row>
    <row r="86" spans="1:7" ht="21" x14ac:dyDescent="0.25">
      <c r="A86" s="4">
        <v>7</v>
      </c>
      <c r="B86" s="11">
        <v>0.46</v>
      </c>
      <c r="C86" s="10">
        <v>0.15</v>
      </c>
      <c r="D86" s="11">
        <v>0.24</v>
      </c>
      <c r="E86" s="10">
        <v>0.8</v>
      </c>
      <c r="F86" s="8">
        <v>942</v>
      </c>
      <c r="G86" s="8">
        <v>505</v>
      </c>
    </row>
    <row r="87" spans="1:7" ht="21" x14ac:dyDescent="0.25">
      <c r="A87" s="4">
        <v>8</v>
      </c>
      <c r="B87" s="11">
        <v>0.51</v>
      </c>
      <c r="C87" s="10">
        <v>0.15</v>
      </c>
      <c r="D87" s="11">
        <v>0.21</v>
      </c>
      <c r="E87" s="10">
        <v>0.8</v>
      </c>
      <c r="F87" s="8">
        <v>943</v>
      </c>
      <c r="G87" s="8">
        <v>457</v>
      </c>
    </row>
    <row r="88" spans="1:7" ht="21" x14ac:dyDescent="0.25">
      <c r="A88" s="4">
        <v>9</v>
      </c>
      <c r="B88" s="11">
        <v>0.4</v>
      </c>
      <c r="C88" s="10">
        <v>0.15</v>
      </c>
      <c r="D88" s="11">
        <v>0.2</v>
      </c>
      <c r="E88" s="10">
        <v>0.8</v>
      </c>
      <c r="F88" s="8">
        <v>820</v>
      </c>
      <c r="G88" s="8">
        <v>495</v>
      </c>
    </row>
    <row r="89" spans="1:7" ht="21" x14ac:dyDescent="0.25">
      <c r="A89" s="4">
        <v>10</v>
      </c>
      <c r="B89" s="11">
        <v>0.09</v>
      </c>
      <c r="C89" s="10">
        <v>0.15</v>
      </c>
      <c r="D89" s="11">
        <v>0.64</v>
      </c>
      <c r="E89" s="10">
        <v>0.8</v>
      </c>
      <c r="F89" s="8">
        <v>438</v>
      </c>
      <c r="G89" s="8">
        <v>397</v>
      </c>
    </row>
    <row r="90" spans="1:7" ht="21" x14ac:dyDescent="0.25">
      <c r="A90" s="4">
        <v>11</v>
      </c>
      <c r="B90" s="11">
        <v>0.03</v>
      </c>
      <c r="C90" s="10">
        <v>0.15</v>
      </c>
      <c r="D90" s="11">
        <v>0.89</v>
      </c>
      <c r="E90" s="10">
        <v>0.8</v>
      </c>
      <c r="F90" s="8">
        <v>196</v>
      </c>
      <c r="G90" s="8">
        <v>190</v>
      </c>
    </row>
    <row r="91" spans="1:7" ht="21" x14ac:dyDescent="0.25">
      <c r="A91" s="4">
        <v>12</v>
      </c>
      <c r="B91" s="11">
        <v>0.44</v>
      </c>
      <c r="C91" s="10">
        <v>0.15</v>
      </c>
      <c r="D91" s="11">
        <v>0.19</v>
      </c>
      <c r="E91" s="10">
        <v>0.8</v>
      </c>
      <c r="F91" s="8">
        <v>942</v>
      </c>
      <c r="G91" s="8">
        <v>525</v>
      </c>
    </row>
    <row r="92" spans="1:7" ht="21" x14ac:dyDescent="0.25">
      <c r="A92" s="4">
        <v>13</v>
      </c>
      <c r="B92" s="11">
        <v>0.5</v>
      </c>
      <c r="C92" s="10">
        <v>0.15</v>
      </c>
      <c r="D92" s="11">
        <v>0.19</v>
      </c>
      <c r="E92" s="10">
        <v>0.8</v>
      </c>
      <c r="F92" s="8">
        <v>1039</v>
      </c>
      <c r="G92" s="8">
        <v>523</v>
      </c>
    </row>
    <row r="93" spans="1:7" ht="21" x14ac:dyDescent="0.25">
      <c r="A93" s="4">
        <v>14</v>
      </c>
      <c r="B93" s="11">
        <v>0.5</v>
      </c>
      <c r="C93" s="10">
        <v>0.15</v>
      </c>
      <c r="D93" s="11">
        <v>0.21</v>
      </c>
      <c r="E93" s="10">
        <v>0.8</v>
      </c>
      <c r="F93" s="8">
        <v>963</v>
      </c>
      <c r="G93" s="8">
        <v>523</v>
      </c>
    </row>
    <row r="94" spans="1:7" ht="21" x14ac:dyDescent="0.25">
      <c r="A94" s="4">
        <v>15</v>
      </c>
      <c r="B94" s="11">
        <v>0.44</v>
      </c>
      <c r="C94" s="10">
        <v>0.15</v>
      </c>
      <c r="D94" s="11">
        <v>0.23</v>
      </c>
      <c r="E94" s="10">
        <v>0.8</v>
      </c>
      <c r="F94" s="8">
        <v>945</v>
      </c>
      <c r="G94" s="8">
        <v>529</v>
      </c>
    </row>
    <row r="95" spans="1:7" ht="21" x14ac:dyDescent="0.25">
      <c r="A95" s="4">
        <v>16</v>
      </c>
      <c r="B95" s="11">
        <v>0.39</v>
      </c>
      <c r="C95" s="10">
        <v>0.15</v>
      </c>
      <c r="D95" s="11">
        <v>0.33</v>
      </c>
      <c r="E95" s="10">
        <v>0.8</v>
      </c>
      <c r="F95" s="8">
        <v>818</v>
      </c>
      <c r="G95" s="8">
        <v>501</v>
      </c>
    </row>
    <row r="96" spans="1:7" ht="21" x14ac:dyDescent="0.25">
      <c r="A96" s="4">
        <v>17</v>
      </c>
      <c r="B96" s="11">
        <v>0.12</v>
      </c>
      <c r="C96" s="10">
        <v>0.15</v>
      </c>
      <c r="D96" s="11">
        <v>0.56999999999999995</v>
      </c>
      <c r="E96" s="10">
        <v>0.8</v>
      </c>
      <c r="F96" s="8">
        <v>419</v>
      </c>
      <c r="G96" s="8">
        <v>369</v>
      </c>
    </row>
    <row r="97" spans="1:7" ht="21" x14ac:dyDescent="0.25">
      <c r="A97" s="4">
        <v>18</v>
      </c>
      <c r="B97" s="11">
        <v>1.11E-2</v>
      </c>
      <c r="C97" s="10">
        <v>0.15</v>
      </c>
      <c r="D97" s="11">
        <v>0.98</v>
      </c>
      <c r="E97" s="10">
        <v>0.8</v>
      </c>
      <c r="F97" s="8">
        <v>180</v>
      </c>
      <c r="G97" s="8">
        <v>178</v>
      </c>
    </row>
    <row r="98" spans="1:7" ht="21" x14ac:dyDescent="0.25">
      <c r="A98" s="4">
        <v>19</v>
      </c>
      <c r="B98" s="11">
        <v>0.14000000000000001</v>
      </c>
      <c r="C98" s="10">
        <v>0.15</v>
      </c>
      <c r="D98" s="11">
        <v>0.5</v>
      </c>
      <c r="E98" s="10">
        <v>0.8</v>
      </c>
      <c r="F98" s="8">
        <v>835</v>
      </c>
      <c r="G98" s="8">
        <v>721</v>
      </c>
    </row>
    <row r="99" spans="1:7" ht="21" x14ac:dyDescent="0.25">
      <c r="A99" s="4">
        <v>20</v>
      </c>
      <c r="B99" s="11">
        <v>0.11</v>
      </c>
      <c r="C99" s="10">
        <v>0.15</v>
      </c>
      <c r="D99" s="11">
        <v>0.52</v>
      </c>
      <c r="E99" s="10">
        <v>0.8</v>
      </c>
      <c r="F99" s="8">
        <v>869</v>
      </c>
      <c r="G99" s="8">
        <v>769</v>
      </c>
    </row>
    <row r="100" spans="1:7" ht="21" x14ac:dyDescent="0.25">
      <c r="A100" s="4">
        <v>21</v>
      </c>
      <c r="B100" s="11">
        <v>0.09</v>
      </c>
      <c r="C100" s="10">
        <v>0.15</v>
      </c>
      <c r="D100" s="11">
        <v>0.63</v>
      </c>
      <c r="E100" s="10">
        <v>0.8</v>
      </c>
      <c r="F100" s="8">
        <v>805</v>
      </c>
      <c r="G100" s="8">
        <v>729</v>
      </c>
    </row>
    <row r="101" spans="1:7" ht="21" x14ac:dyDescent="0.25">
      <c r="A101" s="4">
        <v>22</v>
      </c>
      <c r="B101" s="11">
        <v>0.05</v>
      </c>
      <c r="C101" s="10">
        <v>0.15</v>
      </c>
      <c r="D101" s="11">
        <v>0.77</v>
      </c>
      <c r="E101" s="10">
        <v>0.8</v>
      </c>
      <c r="F101" s="8">
        <v>702</v>
      </c>
      <c r="G101" s="8">
        <v>665</v>
      </c>
    </row>
    <row r="102" spans="1:7" ht="21" x14ac:dyDescent="0.25">
      <c r="A102" s="4">
        <v>23</v>
      </c>
      <c r="B102" s="11">
        <v>0.04</v>
      </c>
      <c r="C102" s="10">
        <v>0.15</v>
      </c>
      <c r="D102" s="11">
        <v>0.80589999999999995</v>
      </c>
      <c r="E102" s="10">
        <v>0.8</v>
      </c>
      <c r="F102" s="8">
        <v>608</v>
      </c>
      <c r="G102" s="8">
        <v>582</v>
      </c>
    </row>
    <row r="103" spans="1:7" ht="21" x14ac:dyDescent="0.25">
      <c r="A103" s="4">
        <v>24</v>
      </c>
      <c r="B103" s="11">
        <v>0.13</v>
      </c>
      <c r="C103" s="10">
        <v>0.15</v>
      </c>
      <c r="D103" s="11">
        <v>0.68</v>
      </c>
      <c r="E103" s="10">
        <v>0.8</v>
      </c>
      <c r="F103" s="8">
        <v>365</v>
      </c>
      <c r="G103" s="8">
        <v>316</v>
      </c>
    </row>
    <row r="104" spans="1:7" ht="21" x14ac:dyDescent="0.25">
      <c r="A104" s="4">
        <v>25</v>
      </c>
      <c r="B104" s="11">
        <v>0.01</v>
      </c>
      <c r="C104" s="10">
        <v>0.15</v>
      </c>
      <c r="D104" s="11">
        <v>0.92</v>
      </c>
      <c r="E104" s="10">
        <v>0.8</v>
      </c>
      <c r="F104" s="8">
        <v>157</v>
      </c>
      <c r="G104" s="8">
        <v>156</v>
      </c>
    </row>
    <row r="105" spans="1:7" ht="21" x14ac:dyDescent="0.25">
      <c r="A105" s="4">
        <v>26</v>
      </c>
      <c r="B105" s="11">
        <v>0.1353</v>
      </c>
      <c r="C105" s="10">
        <v>0.15</v>
      </c>
      <c r="D105" s="11">
        <v>0.49</v>
      </c>
      <c r="E105" s="10">
        <v>0.8</v>
      </c>
      <c r="F105" s="8">
        <v>835</v>
      </c>
      <c r="G105" s="8">
        <v>720</v>
      </c>
    </row>
    <row r="106" spans="1:7" ht="21" x14ac:dyDescent="0.25">
      <c r="A106" s="4">
        <v>27</v>
      </c>
      <c r="B106" s="11">
        <v>5.6500000000000002E-2</v>
      </c>
      <c r="C106" s="10">
        <v>0.15</v>
      </c>
      <c r="D106" s="11">
        <v>0.67</v>
      </c>
      <c r="E106" s="10">
        <v>0.8</v>
      </c>
      <c r="F106" s="8">
        <v>744</v>
      </c>
      <c r="G106" s="8">
        <v>701</v>
      </c>
    </row>
    <row r="107" spans="1:7" ht="21" x14ac:dyDescent="0.25">
      <c r="A107" s="4">
        <v>28</v>
      </c>
      <c r="B107" s="11">
        <v>0.25609999999999999</v>
      </c>
      <c r="C107" s="10">
        <v>0.15</v>
      </c>
      <c r="D107" s="11">
        <v>0.36449999999999999</v>
      </c>
      <c r="E107" s="10">
        <v>0.8</v>
      </c>
      <c r="F107" s="8">
        <v>867</v>
      </c>
      <c r="G107" s="8">
        <v>645</v>
      </c>
    </row>
    <row r="108" spans="1:7" ht="21" x14ac:dyDescent="0.25">
      <c r="A108" s="4">
        <v>29</v>
      </c>
      <c r="B108" s="11">
        <v>0.1139</v>
      </c>
      <c r="C108" s="10">
        <v>0.15</v>
      </c>
      <c r="D108" s="11">
        <v>0.58330000000000004</v>
      </c>
      <c r="E108" s="10">
        <v>0.8</v>
      </c>
      <c r="F108" s="8">
        <v>720</v>
      </c>
      <c r="G108" s="8">
        <v>636</v>
      </c>
    </row>
    <row r="109" spans="1:7" ht="21" x14ac:dyDescent="0.25">
      <c r="A109" s="4">
        <v>30</v>
      </c>
      <c r="B109" s="11">
        <v>0.2757</v>
      </c>
      <c r="C109" s="10">
        <v>0.15</v>
      </c>
      <c r="D109" s="11">
        <v>0.35859999999999997</v>
      </c>
      <c r="E109" s="10">
        <v>0.8</v>
      </c>
      <c r="F109" s="8">
        <v>700</v>
      </c>
      <c r="G109" s="8">
        <v>505</v>
      </c>
    </row>
    <row r="110" spans="1:7" ht="21" x14ac:dyDescent="0.25">
      <c r="A110" s="4">
        <v>31</v>
      </c>
      <c r="B110" s="11">
        <v>4.3999999999999997E-2</v>
      </c>
      <c r="C110" s="10">
        <v>0.15</v>
      </c>
      <c r="D110" s="11">
        <v>0.87</v>
      </c>
      <c r="E110" s="10">
        <v>0.8</v>
      </c>
      <c r="F110" s="8">
        <v>386</v>
      </c>
      <c r="G110" s="8">
        <v>369</v>
      </c>
    </row>
  </sheetData>
  <mergeCells count="3">
    <mergeCell ref="C1:E2"/>
    <mergeCell ref="B38:D39"/>
    <mergeCell ref="C77:F78"/>
  </mergeCells>
  <pageMargins left="0.7" right="0.7" top="0.75" bottom="0.75" header="0.3" footer="0.3"/>
  <pageSetup scale="55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D4AE-8F71-47C5-8181-8122F2C67148}">
  <dimension ref="A1:C22"/>
  <sheetViews>
    <sheetView topLeftCell="A10" zoomScale="80" zoomScaleNormal="80" workbookViewId="0">
      <selection activeCell="E38" sqref="E38"/>
    </sheetView>
  </sheetViews>
  <sheetFormatPr baseColWidth="10" defaultRowHeight="15" x14ac:dyDescent="0.25"/>
  <cols>
    <col min="1" max="1" width="13.7109375" customWidth="1"/>
    <col min="2" max="2" width="31.7109375" customWidth="1"/>
    <col min="3" max="3" width="15.42578125" bestFit="1" customWidth="1"/>
  </cols>
  <sheetData>
    <row r="1" spans="1:2" ht="15.75" x14ac:dyDescent="0.25">
      <c r="A1" s="53" t="s">
        <v>193</v>
      </c>
      <c r="B1" s="53" t="s">
        <v>194</v>
      </c>
    </row>
    <row r="2" spans="1:2" ht="20.25" customHeight="1" x14ac:dyDescent="0.25">
      <c r="A2" s="57" t="s">
        <v>195</v>
      </c>
      <c r="B2" s="58">
        <f>SUM(Tbl_App[Total_General])</f>
        <v>9655</v>
      </c>
    </row>
    <row r="3" spans="1:2" ht="20.25" customHeight="1" x14ac:dyDescent="0.25">
      <c r="A3" s="57" t="s">
        <v>196</v>
      </c>
      <c r="B3" s="58">
        <f>SUM(Tbl_Web[Chats_Recibidos])</f>
        <v>13056</v>
      </c>
    </row>
    <row r="4" spans="1:2" ht="17.25" customHeight="1" x14ac:dyDescent="0.25">
      <c r="A4" s="57" t="s">
        <v>197</v>
      </c>
      <c r="B4" s="58">
        <f>SUM(Tbl_CallCenter[Llamadas_Recibidas])</f>
        <v>21339</v>
      </c>
    </row>
    <row r="10" spans="1:2" ht="16.5" customHeight="1" x14ac:dyDescent="0.25">
      <c r="A10" s="61" t="s">
        <v>193</v>
      </c>
      <c r="B10" s="61" t="s">
        <v>198</v>
      </c>
    </row>
    <row r="11" spans="1:2" ht="15.75" x14ac:dyDescent="0.25">
      <c r="A11" s="59" t="s">
        <v>195</v>
      </c>
      <c r="B11" s="60">
        <f>AVERAGE(Tbl_App[Tiempo_Espera_Promedio])</f>
        <v>4.1972819593787333E-3</v>
      </c>
    </row>
    <row r="12" spans="1:2" ht="15.75" x14ac:dyDescent="0.25">
      <c r="A12" s="59" t="s">
        <v>196</v>
      </c>
      <c r="B12" s="60">
        <f>AVERAGE(Tbl_Web[Tiempo_Espera])</f>
        <v>3.9407855436081251E-3</v>
      </c>
    </row>
    <row r="13" spans="1:2" ht="15.75" x14ac:dyDescent="0.25">
      <c r="A13" s="59" t="s">
        <v>197</v>
      </c>
      <c r="B13" s="60">
        <f>AVERAGE(Tbl_CallCenter[Abandono])</f>
        <v>0.24271612903225803</v>
      </c>
    </row>
    <row r="19" spans="1:3" ht="15.75" x14ac:dyDescent="0.25">
      <c r="A19" s="53" t="s">
        <v>193</v>
      </c>
      <c r="B19" s="53" t="s">
        <v>199</v>
      </c>
      <c r="C19" s="53" t="s">
        <v>200</v>
      </c>
    </row>
    <row r="20" spans="1:3" ht="15.75" x14ac:dyDescent="0.25">
      <c r="A20" s="62" t="s">
        <v>195</v>
      </c>
      <c r="B20" s="63">
        <f>AVERAGE(Tbl_App[Tiempo_Espera_Promedio])</f>
        <v>4.1972819593787333E-3</v>
      </c>
      <c r="C20" s="63">
        <f>AVERAGE(Tbl_App[Tiempo_Espera_Meta])</f>
        <v>1.0416666666666668E-2</v>
      </c>
    </row>
    <row r="21" spans="1:3" ht="15.75" x14ac:dyDescent="0.25">
      <c r="A21" s="62" t="s">
        <v>196</v>
      </c>
      <c r="B21" s="63">
        <f>AVERAGE(Tbl_Web[Tiempo_Espera])</f>
        <v>3.9407855436081251E-3</v>
      </c>
      <c r="C21" s="63">
        <f>AVERAGE(Tbl_Web[Tiempo_Sesion])</f>
        <v>1.525910991636798E-2</v>
      </c>
    </row>
    <row r="22" spans="1:3" ht="15.75" x14ac:dyDescent="0.25">
      <c r="A22" s="62" t="s">
        <v>197</v>
      </c>
      <c r="B22" s="63">
        <f>AVERAGE(Tbl_CallCenter[Nivel_Servicio])</f>
        <v>0.49680967741935478</v>
      </c>
      <c r="C22" s="63">
        <f>AVERAGE(Tbl_CallCenter[Nivel_Servicio_Meta])</f>
        <v>0.80000000000000038</v>
      </c>
    </row>
  </sheetData>
  <pageMargins left="0.7" right="0.7" top="0.75" bottom="0.75" header="0.3" footer="0.3"/>
  <pageSetup orientation="portrait" horizontalDpi="360" verticalDpi="360" r:id="rId1"/>
  <ignoredErrors>
    <ignoredError sqref="B3" formula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last="1" xr2:uid="{41AC8A81-408F-4EEA-B844-F76CB5039D12}">
          <x14:colorSeries rgb="FF376092"/>
          <x14:colorNegative rgb="FFD00000"/>
          <x14:colorAxis rgb="FF000000"/>
          <x14:colorMarkers rgb="FFD00000"/>
          <x14:colorFirst rgb="FFD00000"/>
          <x14:colorLast rgb="FF00B050"/>
          <x14:colorHigh rgb="FF00B050"/>
          <x14:colorLow rgb="FFD00000"/>
          <x14:sparklines>
            <x14:sparkline>
              <xm:f>Dashboard_CentroContacto!B13:B13</xm:f>
              <xm:sqref>C13</xm:sqref>
            </x14:sparkline>
          </x14:sparklines>
        </x14:sparklineGroup>
        <x14:sparklineGroup type="column" displayEmptyCellsAs="span" high="1" xr2:uid="{FAE8B397-A72D-45A8-9DCA-C4C3E0BACF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FF00"/>
          <x14:colorLow rgb="FFD00000"/>
          <x14:sparklines>
            <x14:sparkline>
              <xm:f>Dashboard_CentroContacto!B12:B12</xm:f>
              <xm:sqref>C12</xm:sqref>
            </x14:sparkline>
          </x14:sparklines>
        </x14:sparklineGroup>
        <x14:sparklineGroup type="column" displayEmptyCellsAs="span" low="1" xr2:uid="{A677A52D-3508-4C83-A32F-1AC296363C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Dashboard_CentroContacto!B11:B11</xm:f>
              <xm:sqref>C11</xm:sqref>
            </x14:sparkline>
          </x14:sparklines>
        </x14:sparklineGroup>
        <x14:sparklineGroup type="column" displayEmptyCellsAs="span" high="1" xr2:uid="{5957400E-D953-498A-9300-3565EE2C9DB7}">
          <x14:colorSeries rgb="FF92D050"/>
          <x14:colorNegative rgb="FF92D05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Dashboard_CentroContacto!B3:B3</xm:f>
              <xm:sqref>C3</xm:sqref>
            </x14:sparkline>
          </x14:sparklines>
        </x14:sparklineGroup>
        <x14:sparklineGroup type="column" displayEmptyCellsAs="span" low="1" xr2:uid="{86FB3A77-D02B-428E-9B41-FC6B9F5084C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00B0F0"/>
          <x14:sparklines>
            <x14:sparkline>
              <xm:f>Dashboard_CentroContacto!B2:B2</xm:f>
              <xm:sqref>C2</xm:sqref>
            </x14:sparkline>
          </x14:sparklines>
        </x14:sparklineGroup>
        <x14:sparklineGroup type="column" displayEmptyCellsAs="span" high="1" last="1" xr2:uid="{65484053-D331-47DF-8828-5814DB52D0E9}">
          <x14:colorSeries rgb="FF92D050"/>
          <x14:colorNegative rgb="FFD00000"/>
          <x14:colorAxis rgb="FF000000"/>
          <x14:colorMarkers rgb="FFD00000"/>
          <x14:colorFirst rgb="FFD00000"/>
          <x14:colorLast theme="5"/>
          <x14:colorHigh rgb="FFFF0000"/>
          <x14:colorLow rgb="FFD00000"/>
          <x14:sparklines>
            <x14:sparkline>
              <xm:f>Dashboard_CentroContacto!B4:B4</xm:f>
              <xm:sqref>C4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33AE-4F62-426A-A7B2-82FC6B566498}">
  <dimension ref="A1:G7"/>
  <sheetViews>
    <sheetView workbookViewId="0">
      <selection activeCell="E2" sqref="E2"/>
    </sheetView>
  </sheetViews>
  <sheetFormatPr baseColWidth="10" defaultRowHeight="15" x14ac:dyDescent="0.25"/>
  <cols>
    <col min="1" max="1" width="16.28515625" customWidth="1"/>
    <col min="2" max="2" width="16.140625" customWidth="1"/>
    <col min="3" max="4" width="11.42578125" customWidth="1"/>
    <col min="5" max="5" width="17.5703125" customWidth="1"/>
    <col min="6" max="6" width="15.28515625" customWidth="1"/>
    <col min="7" max="7" width="18.5703125" customWidth="1"/>
    <col min="8" max="8" width="23.42578125" customWidth="1"/>
    <col min="9" max="9" width="17.28515625" customWidth="1"/>
  </cols>
  <sheetData>
    <row r="1" spans="1:7" ht="63" x14ac:dyDescent="0.25">
      <c r="A1" s="53" t="s">
        <v>92</v>
      </c>
      <c r="B1" s="53" t="s">
        <v>93</v>
      </c>
      <c r="C1" s="53" t="s">
        <v>94</v>
      </c>
      <c r="D1" s="53" t="s">
        <v>95</v>
      </c>
      <c r="E1" s="53" t="s">
        <v>96</v>
      </c>
      <c r="F1" s="53" t="s">
        <v>97</v>
      </c>
      <c r="G1" s="53" t="s">
        <v>98</v>
      </c>
    </row>
    <row r="2" spans="1:7" ht="16.5" thickBot="1" x14ac:dyDescent="0.3">
      <c r="A2" s="54">
        <f>SUM(Tbl_App[Solicitud_Aprobada])</f>
        <v>20.059999999999999</v>
      </c>
      <c r="B2" s="54">
        <f>SUM(Tbl_App[Solicitud_Declinada])</f>
        <v>10.93</v>
      </c>
      <c r="C2" s="55">
        <f>B2/(B2+A2)</f>
        <v>0.35269441755404968</v>
      </c>
      <c r="D2" s="82">
        <f>AVERAGE(Tbl_App[Tiempo_Espera_Promedio])</f>
        <v>4.1972819593787333E-3</v>
      </c>
      <c r="E2" s="82">
        <f>AVERAGE(Tbl_Web[Tiempo_Espera])</f>
        <v>3.9407855436081251E-3</v>
      </c>
      <c r="F2" s="56">
        <f>AVERAGE(Tbl_CallCenter[Abandono])</f>
        <v>0.24271612903225803</v>
      </c>
      <c r="G2" s="56">
        <f>AVERAGE(Tbl_CallCenter[Nivel_Servicio])</f>
        <v>0.49680967741935478</v>
      </c>
    </row>
    <row r="3" spans="1:7" x14ac:dyDescent="0.25">
      <c r="A3" s="50"/>
      <c r="B3" s="51"/>
    </row>
    <row r="6" spans="1:7" x14ac:dyDescent="0.25">
      <c r="A6" s="49"/>
      <c r="B6" s="52"/>
    </row>
    <row r="7" spans="1:7" x14ac:dyDescent="0.25">
      <c r="A7" s="49"/>
      <c r="B7" s="5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9FEB-C9B0-4A15-9262-F16FD6300911}">
  <dimension ref="A1:T208"/>
  <sheetViews>
    <sheetView workbookViewId="0">
      <selection activeCell="B4" sqref="B4:B68"/>
    </sheetView>
  </sheetViews>
  <sheetFormatPr baseColWidth="10" defaultRowHeight="15" x14ac:dyDescent="0.25"/>
  <cols>
    <col min="1" max="1" width="7.5703125" bestFit="1" customWidth="1"/>
    <col min="2" max="2" width="27.7109375" customWidth="1"/>
    <col min="3" max="4" width="8.140625" bestFit="1" customWidth="1"/>
    <col min="5" max="5" width="8" bestFit="1" customWidth="1"/>
    <col min="6" max="6" width="7.85546875" bestFit="1" customWidth="1"/>
    <col min="7" max="7" width="7.5703125" bestFit="1" customWidth="1"/>
    <col min="8" max="8" width="7.85546875" bestFit="1" customWidth="1"/>
    <col min="9" max="9" width="8.28515625" bestFit="1" customWidth="1"/>
  </cols>
  <sheetData>
    <row r="1" spans="1:20" ht="18" x14ac:dyDescent="0.3">
      <c r="A1" s="13"/>
      <c r="B1" s="13"/>
      <c r="C1" s="13"/>
      <c r="D1" s="13"/>
      <c r="E1" s="13"/>
      <c r="F1" s="13"/>
      <c r="G1" s="13"/>
      <c r="H1" s="13"/>
      <c r="K1" s="13"/>
      <c r="T1" s="13"/>
    </row>
    <row r="2" spans="1:20" ht="23.25" x14ac:dyDescent="0.35">
      <c r="B2" s="86" t="s">
        <v>20</v>
      </c>
      <c r="C2" s="86"/>
      <c r="D2" s="86"/>
      <c r="E2" s="86"/>
      <c r="F2" s="86"/>
      <c r="G2" s="86"/>
      <c r="H2" s="86"/>
      <c r="K2" s="13"/>
      <c r="T2" s="13"/>
    </row>
    <row r="3" spans="1:20" x14ac:dyDescent="0.25">
      <c r="A3" s="22" t="s">
        <v>191</v>
      </c>
      <c r="B3" s="27" t="s">
        <v>192</v>
      </c>
      <c r="C3" s="28" t="s">
        <v>185</v>
      </c>
      <c r="D3" s="28" t="s">
        <v>186</v>
      </c>
      <c r="E3" s="28" t="s">
        <v>187</v>
      </c>
      <c r="F3" s="28" t="s">
        <v>188</v>
      </c>
      <c r="G3" s="28" t="s">
        <v>24</v>
      </c>
      <c r="H3" s="28" t="s">
        <v>25</v>
      </c>
      <c r="I3" s="29" t="s">
        <v>26</v>
      </c>
    </row>
    <row r="4" spans="1:20" x14ac:dyDescent="0.25">
      <c r="A4" s="22" t="s">
        <v>182</v>
      </c>
      <c r="B4" s="23" t="s">
        <v>27</v>
      </c>
      <c r="C4" s="15">
        <v>937</v>
      </c>
      <c r="D4" s="15">
        <v>929</v>
      </c>
      <c r="E4" s="15">
        <v>8</v>
      </c>
      <c r="F4" s="15">
        <v>398</v>
      </c>
      <c r="G4" s="16">
        <v>6.4814814814814813E-3</v>
      </c>
      <c r="H4" s="16">
        <v>4.6296296296296294E-3</v>
      </c>
      <c r="I4" s="25">
        <v>1.1458333333333333E-2</v>
      </c>
    </row>
    <row r="5" spans="1:20" x14ac:dyDescent="0.25">
      <c r="A5" s="22" t="s">
        <v>182</v>
      </c>
      <c r="B5" s="23" t="s">
        <v>28</v>
      </c>
      <c r="C5" s="15">
        <v>840</v>
      </c>
      <c r="D5" s="15">
        <v>792</v>
      </c>
      <c r="E5" s="15">
        <v>48</v>
      </c>
      <c r="F5" s="15">
        <v>293</v>
      </c>
      <c r="G5" s="16">
        <v>6.2384259259259259E-3</v>
      </c>
      <c r="H5" s="16">
        <v>9.8148148148148144E-3</v>
      </c>
      <c r="I5" s="25">
        <v>1.6469907407407409E-2</v>
      </c>
    </row>
    <row r="6" spans="1:20" x14ac:dyDescent="0.25">
      <c r="A6" s="22" t="s">
        <v>182</v>
      </c>
      <c r="B6" s="23" t="s">
        <v>29</v>
      </c>
      <c r="C6" s="15">
        <v>1000</v>
      </c>
      <c r="D6" s="15">
        <v>989</v>
      </c>
      <c r="E6" s="15">
        <v>11</v>
      </c>
      <c r="F6" s="15">
        <v>326</v>
      </c>
      <c r="G6" s="16">
        <v>1.275462962962963E-2</v>
      </c>
      <c r="H6" s="16">
        <v>5.4282407407407404E-3</v>
      </c>
      <c r="I6" s="25">
        <v>1.8888888888888889E-2</v>
      </c>
    </row>
    <row r="7" spans="1:20" ht="18.75" customHeight="1" x14ac:dyDescent="0.25">
      <c r="A7" s="22" t="s">
        <v>182</v>
      </c>
      <c r="B7" s="23" t="s">
        <v>30</v>
      </c>
      <c r="C7" s="15">
        <v>4374</v>
      </c>
      <c r="D7" s="15">
        <v>4350</v>
      </c>
      <c r="E7" s="15">
        <v>24</v>
      </c>
      <c r="F7" s="15">
        <v>1788</v>
      </c>
      <c r="G7" s="16">
        <v>5.7754629629629631E-3</v>
      </c>
      <c r="H7" s="16">
        <v>6.6666666666666671E-3</v>
      </c>
      <c r="I7" s="25">
        <v>1.4178240740740741E-2</v>
      </c>
    </row>
    <row r="8" spans="1:20" x14ac:dyDescent="0.25">
      <c r="A8" s="22" t="s">
        <v>182</v>
      </c>
      <c r="B8" s="23" t="s">
        <v>31</v>
      </c>
      <c r="C8" s="15">
        <v>1387</v>
      </c>
      <c r="D8" s="15">
        <v>1386</v>
      </c>
      <c r="E8" s="15">
        <v>1</v>
      </c>
      <c r="F8" s="15">
        <v>526</v>
      </c>
      <c r="G8" s="16">
        <v>1.724537037037037E-3</v>
      </c>
      <c r="H8" s="16">
        <v>6.2615740740740739E-3</v>
      </c>
      <c r="I8" s="25">
        <v>8.1597222222222227E-3</v>
      </c>
    </row>
    <row r="9" spans="1:20" ht="18" customHeight="1" x14ac:dyDescent="0.25">
      <c r="A9" s="22" t="s">
        <v>182</v>
      </c>
      <c r="B9" s="23" t="s">
        <v>32</v>
      </c>
      <c r="C9" s="15">
        <v>4777</v>
      </c>
      <c r="D9" s="15">
        <v>4546</v>
      </c>
      <c r="E9" s="15">
        <v>231</v>
      </c>
      <c r="F9" s="15">
        <v>1794</v>
      </c>
      <c r="G9" s="16">
        <v>4.8726851851851848E-3</v>
      </c>
      <c r="H9" s="16">
        <v>7.3263888888888892E-3</v>
      </c>
      <c r="I9" s="25">
        <v>1.2858796296296297E-2</v>
      </c>
    </row>
    <row r="10" spans="1:20" x14ac:dyDescent="0.25">
      <c r="A10" s="22" t="s">
        <v>182</v>
      </c>
      <c r="B10" s="23" t="s">
        <v>33</v>
      </c>
      <c r="C10" s="15">
        <v>12273</v>
      </c>
      <c r="D10" s="15">
        <v>11997</v>
      </c>
      <c r="E10" s="15">
        <v>276</v>
      </c>
      <c r="F10" s="15">
        <v>4446</v>
      </c>
      <c r="G10" s="16">
        <v>7.8935185185185185E-3</v>
      </c>
      <c r="H10" s="16">
        <v>6.4120370370370373E-3</v>
      </c>
      <c r="I10" s="25">
        <v>1.5231481481481481E-2</v>
      </c>
    </row>
    <row r="11" spans="1:20" x14ac:dyDescent="0.25">
      <c r="A11" s="22" t="s">
        <v>182</v>
      </c>
      <c r="B11" s="23" t="s">
        <v>34</v>
      </c>
      <c r="C11" s="15">
        <v>1383</v>
      </c>
      <c r="D11" s="15">
        <v>1332</v>
      </c>
      <c r="E11" s="15">
        <v>51</v>
      </c>
      <c r="F11" s="15">
        <v>467</v>
      </c>
      <c r="G11" s="16">
        <v>1.0578703703703703E-2</v>
      </c>
      <c r="H11" s="16">
        <v>4.9074074074074072E-3</v>
      </c>
      <c r="I11" s="25">
        <v>1.650462962962963E-2</v>
      </c>
    </row>
    <row r="12" spans="1:20" x14ac:dyDescent="0.25">
      <c r="A12" s="22" t="s">
        <v>182</v>
      </c>
      <c r="B12" s="23" t="s">
        <v>35</v>
      </c>
      <c r="C12" s="15">
        <v>3972</v>
      </c>
      <c r="D12" s="15">
        <v>3893</v>
      </c>
      <c r="E12" s="15">
        <v>79</v>
      </c>
      <c r="F12" s="15">
        <v>1520</v>
      </c>
      <c r="G12" s="16">
        <v>4.8958333333333336E-3</v>
      </c>
      <c r="H12" s="16">
        <v>5.6828703703703702E-3</v>
      </c>
      <c r="I12" s="25">
        <v>1.1851851851851851E-2</v>
      </c>
    </row>
    <row r="13" spans="1:20" x14ac:dyDescent="0.25">
      <c r="A13" s="22" t="s">
        <v>182</v>
      </c>
      <c r="B13" s="23" t="s">
        <v>36</v>
      </c>
      <c r="C13" s="15">
        <v>2416</v>
      </c>
      <c r="D13" s="15">
        <v>2379</v>
      </c>
      <c r="E13" s="15">
        <v>37</v>
      </c>
      <c r="F13" s="15">
        <v>990</v>
      </c>
      <c r="G13" s="16">
        <v>5.5671296296296293E-3</v>
      </c>
      <c r="H13" s="16">
        <v>5.9606481481481481E-3</v>
      </c>
      <c r="I13" s="25">
        <v>1.292824074074074E-2</v>
      </c>
    </row>
    <row r="14" spans="1:20" x14ac:dyDescent="0.25">
      <c r="A14" s="22" t="s">
        <v>182</v>
      </c>
      <c r="B14" s="23" t="s">
        <v>158</v>
      </c>
      <c r="C14" s="15">
        <v>2036</v>
      </c>
      <c r="D14" s="15">
        <v>2021</v>
      </c>
      <c r="E14" s="15">
        <v>15</v>
      </c>
      <c r="F14" s="15">
        <v>857</v>
      </c>
      <c r="G14" s="16">
        <v>4.1319444444444442E-3</v>
      </c>
      <c r="H14" s="16">
        <v>6.9560185185185185E-3</v>
      </c>
      <c r="I14" s="25">
        <v>1.1539351851851851E-2</v>
      </c>
    </row>
    <row r="15" spans="1:20" x14ac:dyDescent="0.25">
      <c r="A15" s="22" t="s">
        <v>182</v>
      </c>
      <c r="B15" s="23" t="s">
        <v>227</v>
      </c>
      <c r="C15" s="15">
        <v>1800</v>
      </c>
      <c r="D15" s="15">
        <v>1786</v>
      </c>
      <c r="E15" s="15">
        <v>14</v>
      </c>
      <c r="F15" s="15">
        <v>778</v>
      </c>
      <c r="G15" s="16">
        <v>4.1319444444444442E-3</v>
      </c>
      <c r="H15" s="16">
        <v>6.3541666666666668E-3</v>
      </c>
      <c r="I15" s="25">
        <v>1.1087962962962963E-2</v>
      </c>
    </row>
    <row r="16" spans="1:20" x14ac:dyDescent="0.25">
      <c r="A16" s="22" t="s">
        <v>182</v>
      </c>
      <c r="B16" s="23" t="s">
        <v>207</v>
      </c>
      <c r="C16" s="15">
        <v>8849</v>
      </c>
      <c r="D16" s="15">
        <v>8777</v>
      </c>
      <c r="E16" s="15">
        <v>72</v>
      </c>
      <c r="F16" s="15">
        <v>3147</v>
      </c>
      <c r="G16" s="16">
        <v>1.1493055555555555E-2</v>
      </c>
      <c r="H16" s="16">
        <v>6.8171296296296296E-3</v>
      </c>
      <c r="I16" s="25">
        <v>2.4085648148148148E-2</v>
      </c>
    </row>
    <row r="17" spans="1:9" x14ac:dyDescent="0.25">
      <c r="A17" s="22" t="s">
        <v>182</v>
      </c>
      <c r="B17" s="23" t="s">
        <v>130</v>
      </c>
      <c r="C17" s="15">
        <v>6641</v>
      </c>
      <c r="D17" s="15">
        <v>6585</v>
      </c>
      <c r="E17" s="15">
        <v>56</v>
      </c>
      <c r="F17" s="15">
        <v>2860</v>
      </c>
      <c r="G17" s="16">
        <v>6.0069444444444441E-3</v>
      </c>
      <c r="H17" s="16">
        <v>6.145833333333333E-3</v>
      </c>
      <c r="I17" s="25">
        <v>1.443287037037037E-2</v>
      </c>
    </row>
    <row r="18" spans="1:9" x14ac:dyDescent="0.25">
      <c r="A18" s="22" t="s">
        <v>182</v>
      </c>
      <c r="B18" s="23" t="s">
        <v>217</v>
      </c>
      <c r="C18" s="15">
        <v>4564</v>
      </c>
      <c r="D18" s="15">
        <v>4516</v>
      </c>
      <c r="E18" s="15">
        <v>48</v>
      </c>
      <c r="F18" s="15">
        <v>1505</v>
      </c>
      <c r="G18" s="16">
        <v>5.6828703703703702E-3</v>
      </c>
      <c r="H18" s="16">
        <v>6.122685185185185E-3</v>
      </c>
      <c r="I18" s="25">
        <v>1.2662037037037038E-2</v>
      </c>
    </row>
    <row r="19" spans="1:9" x14ac:dyDescent="0.25">
      <c r="A19" s="22" t="s">
        <v>182</v>
      </c>
      <c r="B19" s="23" t="s">
        <v>220</v>
      </c>
      <c r="C19" s="15">
        <v>3591</v>
      </c>
      <c r="D19" s="15">
        <v>3582</v>
      </c>
      <c r="E19" s="15">
        <v>9</v>
      </c>
      <c r="F19" s="15">
        <v>1299</v>
      </c>
      <c r="G19" s="16">
        <v>1.1724537037037037E-2</v>
      </c>
      <c r="H19" s="16">
        <v>5.7638888888888887E-3</v>
      </c>
      <c r="I19" s="25">
        <v>1.9282407407407408E-2</v>
      </c>
    </row>
    <row r="20" spans="1:9" x14ac:dyDescent="0.25">
      <c r="A20" s="22" t="s">
        <v>182</v>
      </c>
      <c r="B20" s="23" t="s">
        <v>139</v>
      </c>
      <c r="C20" s="15">
        <v>3132</v>
      </c>
      <c r="D20" s="15">
        <v>3104</v>
      </c>
      <c r="E20" s="15">
        <v>28</v>
      </c>
      <c r="F20" s="15">
        <v>1142</v>
      </c>
      <c r="G20" s="16">
        <v>4.6759259259259263E-3</v>
      </c>
      <c r="H20" s="16">
        <v>6.1805555555555555E-3</v>
      </c>
      <c r="I20" s="25">
        <v>1.2013888888888888E-2</v>
      </c>
    </row>
    <row r="21" spans="1:9" x14ac:dyDescent="0.25">
      <c r="A21" s="22" t="s">
        <v>182</v>
      </c>
      <c r="B21" s="23" t="s">
        <v>123</v>
      </c>
      <c r="C21" s="15">
        <v>10535</v>
      </c>
      <c r="D21" s="15">
        <v>10494</v>
      </c>
      <c r="E21" s="15">
        <v>41</v>
      </c>
      <c r="F21" s="15">
        <v>3839</v>
      </c>
      <c r="G21" s="16">
        <v>6.2500000000000003E-3</v>
      </c>
      <c r="H21" s="16">
        <v>6.6319444444444446E-3</v>
      </c>
      <c r="I21" s="25">
        <v>1.3773148148148149E-2</v>
      </c>
    </row>
    <row r="22" spans="1:9" x14ac:dyDescent="0.25">
      <c r="A22" s="22" t="s">
        <v>182</v>
      </c>
      <c r="B22" s="23" t="s">
        <v>230</v>
      </c>
      <c r="C22" s="15">
        <v>702</v>
      </c>
      <c r="D22" s="15">
        <v>697</v>
      </c>
      <c r="E22" s="15">
        <v>5</v>
      </c>
      <c r="F22" s="15">
        <v>263</v>
      </c>
      <c r="G22" s="16">
        <v>3.8310185185185183E-3</v>
      </c>
      <c r="H22" s="16">
        <v>3.9351851851851848E-3</v>
      </c>
      <c r="I22" s="25">
        <v>9.4560185185185181E-3</v>
      </c>
    </row>
    <row r="23" spans="1:9" x14ac:dyDescent="0.25">
      <c r="A23" s="22" t="s">
        <v>182</v>
      </c>
      <c r="B23" s="23" t="s">
        <v>106</v>
      </c>
      <c r="C23" s="15">
        <v>8916</v>
      </c>
      <c r="D23" s="15">
        <v>8558</v>
      </c>
      <c r="E23" s="15">
        <v>358</v>
      </c>
      <c r="F23" s="15">
        <v>3506</v>
      </c>
      <c r="G23" s="16">
        <v>6.3541666666666668E-3</v>
      </c>
      <c r="H23" s="16">
        <v>6.7129629629629631E-3</v>
      </c>
      <c r="I23" s="25">
        <v>1.4548611111111111E-2</v>
      </c>
    </row>
    <row r="24" spans="1:9" x14ac:dyDescent="0.25">
      <c r="A24" s="22" t="s">
        <v>182</v>
      </c>
      <c r="B24" s="23" t="s">
        <v>219</v>
      </c>
      <c r="C24" s="15">
        <v>3627</v>
      </c>
      <c r="D24" s="15">
        <v>3605</v>
      </c>
      <c r="E24" s="15">
        <v>22</v>
      </c>
      <c r="F24" s="15">
        <v>1346</v>
      </c>
      <c r="G24" s="16">
        <v>6.9560185185185185E-3</v>
      </c>
      <c r="H24" s="16">
        <v>5.138888888888889E-3</v>
      </c>
      <c r="I24" s="25">
        <v>1.2847222222222222E-2</v>
      </c>
    </row>
    <row r="25" spans="1:9" x14ac:dyDescent="0.25">
      <c r="A25" s="22" t="s">
        <v>182</v>
      </c>
      <c r="B25" s="23" t="s">
        <v>113</v>
      </c>
      <c r="C25" s="15">
        <v>11324</v>
      </c>
      <c r="D25" s="15">
        <v>11215</v>
      </c>
      <c r="E25" s="15">
        <v>109</v>
      </c>
      <c r="F25" s="15">
        <v>4121</v>
      </c>
      <c r="G25" s="16">
        <v>9.6412037037037039E-3</v>
      </c>
      <c r="H25" s="16">
        <v>5.7870370370370367E-3</v>
      </c>
      <c r="I25" s="25">
        <v>2.0462962962962964E-2</v>
      </c>
    </row>
    <row r="26" spans="1:9" x14ac:dyDescent="0.25">
      <c r="A26" s="22" t="s">
        <v>182</v>
      </c>
      <c r="B26" s="23" t="s">
        <v>228</v>
      </c>
      <c r="C26" s="15">
        <v>1697</v>
      </c>
      <c r="D26" s="15">
        <v>1683</v>
      </c>
      <c r="E26" s="15">
        <v>14</v>
      </c>
      <c r="F26" s="15">
        <v>642</v>
      </c>
      <c r="G26" s="16">
        <v>1.9097222222222222E-3</v>
      </c>
      <c r="H26" s="16">
        <v>7.2800925925925923E-3</v>
      </c>
      <c r="I26" s="25">
        <v>1.0115740740740741E-2</v>
      </c>
    </row>
    <row r="27" spans="1:9" x14ac:dyDescent="0.25">
      <c r="A27" s="22" t="s">
        <v>182</v>
      </c>
      <c r="B27" s="23" t="s">
        <v>118</v>
      </c>
      <c r="C27" s="15">
        <v>8070</v>
      </c>
      <c r="D27" s="15">
        <v>7854</v>
      </c>
      <c r="E27" s="15">
        <v>216</v>
      </c>
      <c r="F27" s="15">
        <v>3094</v>
      </c>
      <c r="G27" s="16">
        <v>4.6874999999999998E-3</v>
      </c>
      <c r="H27" s="16">
        <v>5.9953703703703705E-3</v>
      </c>
      <c r="I27" s="25">
        <v>1.1851851851851851E-2</v>
      </c>
    </row>
    <row r="28" spans="1:9" x14ac:dyDescent="0.25">
      <c r="A28" s="22" t="s">
        <v>182</v>
      </c>
      <c r="B28" s="23" t="s">
        <v>221</v>
      </c>
      <c r="C28" s="15">
        <v>3353</v>
      </c>
      <c r="D28" s="15">
        <v>3341</v>
      </c>
      <c r="E28" s="15">
        <v>12</v>
      </c>
      <c r="F28" s="15">
        <v>1375</v>
      </c>
      <c r="G28" s="16">
        <v>3.9930555555555552E-3</v>
      </c>
      <c r="H28" s="16">
        <v>4.9884259259259257E-3</v>
      </c>
      <c r="I28" s="25">
        <v>9.7222222222222224E-3</v>
      </c>
    </row>
    <row r="29" spans="1:9" x14ac:dyDescent="0.25">
      <c r="A29" s="22" t="s">
        <v>182</v>
      </c>
      <c r="B29" s="23" t="s">
        <v>119</v>
      </c>
      <c r="C29" s="15">
        <v>10764</v>
      </c>
      <c r="D29" s="15">
        <v>10333</v>
      </c>
      <c r="E29" s="15">
        <v>431</v>
      </c>
      <c r="F29" s="15">
        <v>3612</v>
      </c>
      <c r="G29" s="16">
        <v>9.4212962962962957E-3</v>
      </c>
      <c r="H29" s="16">
        <v>6.5856481481481478E-3</v>
      </c>
      <c r="I29" s="25">
        <v>1.7939814814814815E-2</v>
      </c>
    </row>
    <row r="30" spans="1:9" x14ac:dyDescent="0.25">
      <c r="A30" s="22" t="s">
        <v>182</v>
      </c>
      <c r="B30" s="23" t="s">
        <v>222</v>
      </c>
      <c r="C30" s="15">
        <v>3170</v>
      </c>
      <c r="D30" s="15">
        <v>3125</v>
      </c>
      <c r="E30" s="15">
        <v>45</v>
      </c>
      <c r="F30" s="15">
        <v>1285</v>
      </c>
      <c r="G30" s="16">
        <v>3.8657407407407408E-3</v>
      </c>
      <c r="H30" s="16">
        <v>8.0555555555555554E-3</v>
      </c>
      <c r="I30" s="25">
        <v>1.2280092592592592E-2</v>
      </c>
    </row>
    <row r="31" spans="1:9" x14ac:dyDescent="0.25">
      <c r="A31" s="22" t="s">
        <v>182</v>
      </c>
      <c r="B31" s="23" t="s">
        <v>157</v>
      </c>
      <c r="C31" s="15">
        <v>3093</v>
      </c>
      <c r="D31" s="15">
        <v>3052</v>
      </c>
      <c r="E31" s="15">
        <v>41</v>
      </c>
      <c r="F31" s="15">
        <v>1182</v>
      </c>
      <c r="G31" s="16">
        <v>9.6064814814814815E-3</v>
      </c>
      <c r="H31" s="16">
        <v>5.7060185185185183E-3</v>
      </c>
      <c r="I31" s="25">
        <v>1.7662037037037039E-2</v>
      </c>
    </row>
    <row r="32" spans="1:9" x14ac:dyDescent="0.25">
      <c r="A32" s="22" t="s">
        <v>182</v>
      </c>
      <c r="B32" s="23" t="s">
        <v>215</v>
      </c>
      <c r="C32" s="15">
        <v>5007</v>
      </c>
      <c r="D32" s="15">
        <v>4994</v>
      </c>
      <c r="E32" s="15">
        <v>13</v>
      </c>
      <c r="F32" s="15">
        <v>1756</v>
      </c>
      <c r="G32" s="16">
        <v>1.0393518518518519E-2</v>
      </c>
      <c r="H32" s="16">
        <v>6.4236111111111108E-3</v>
      </c>
      <c r="I32" s="25">
        <v>2.0358796296296295E-2</v>
      </c>
    </row>
    <row r="33" spans="1:9" x14ac:dyDescent="0.25">
      <c r="A33" s="22" t="s">
        <v>182</v>
      </c>
      <c r="B33" s="23" t="s">
        <v>218</v>
      </c>
      <c r="C33" s="15">
        <v>4333</v>
      </c>
      <c r="D33" s="15">
        <v>4294</v>
      </c>
      <c r="E33" s="15">
        <v>39</v>
      </c>
      <c r="F33" s="15">
        <v>1883</v>
      </c>
      <c r="G33" s="16">
        <v>3.8541666666666668E-3</v>
      </c>
      <c r="H33" s="16">
        <v>5.9143518518518521E-3</v>
      </c>
      <c r="I33" s="25">
        <v>1.1331018518518518E-2</v>
      </c>
    </row>
    <row r="34" spans="1:9" x14ac:dyDescent="0.25">
      <c r="A34" s="22" t="s">
        <v>182</v>
      </c>
      <c r="B34" s="23" t="s">
        <v>224</v>
      </c>
      <c r="C34" s="15">
        <v>2675</v>
      </c>
      <c r="D34" s="15">
        <v>2627</v>
      </c>
      <c r="E34" s="15">
        <v>48</v>
      </c>
      <c r="F34" s="15">
        <v>1131</v>
      </c>
      <c r="G34" s="16">
        <v>6.851851851851852E-3</v>
      </c>
      <c r="H34" s="16">
        <v>5.8449074074074072E-3</v>
      </c>
      <c r="I34" s="25">
        <v>1.3726851851851851E-2</v>
      </c>
    </row>
    <row r="35" spans="1:9" x14ac:dyDescent="0.25">
      <c r="A35" s="22" t="s">
        <v>182</v>
      </c>
      <c r="B35" s="23" t="s">
        <v>211</v>
      </c>
      <c r="C35" s="15">
        <v>7069</v>
      </c>
      <c r="D35" s="15">
        <v>6888</v>
      </c>
      <c r="E35" s="15">
        <v>181</v>
      </c>
      <c r="F35" s="15">
        <v>2469</v>
      </c>
      <c r="G35" s="16">
        <v>4.2939814814814811E-3</v>
      </c>
      <c r="H35" s="16">
        <v>4.6527777777777774E-3</v>
      </c>
      <c r="I35" s="25">
        <v>9.6643518518518511E-3</v>
      </c>
    </row>
    <row r="36" spans="1:9" x14ac:dyDescent="0.25">
      <c r="A36" s="22" t="s">
        <v>182</v>
      </c>
      <c r="B36" s="23" t="s">
        <v>125</v>
      </c>
      <c r="C36" s="15">
        <v>6720</v>
      </c>
      <c r="D36" s="15">
        <v>6684</v>
      </c>
      <c r="E36" s="15">
        <v>36</v>
      </c>
      <c r="F36" s="15">
        <v>2284</v>
      </c>
      <c r="G36" s="16">
        <v>7.4305555555555557E-3</v>
      </c>
      <c r="H36" s="16">
        <v>5.6018518518518518E-3</v>
      </c>
      <c r="I36" s="25">
        <v>1.4189814814814815E-2</v>
      </c>
    </row>
    <row r="37" spans="1:9" x14ac:dyDescent="0.25">
      <c r="A37" s="22" t="s">
        <v>182</v>
      </c>
      <c r="B37" s="23" t="s">
        <v>112</v>
      </c>
      <c r="C37" s="15">
        <v>12650</v>
      </c>
      <c r="D37" s="15">
        <v>12542</v>
      </c>
      <c r="E37" s="15">
        <v>108</v>
      </c>
      <c r="F37" s="15">
        <v>4602</v>
      </c>
      <c r="G37" s="16">
        <v>1.0925925925925926E-2</v>
      </c>
      <c r="H37" s="16">
        <v>5.8796296296296296E-3</v>
      </c>
      <c r="I37" s="25">
        <v>2.0254629629629629E-2</v>
      </c>
    </row>
    <row r="38" spans="1:9" x14ac:dyDescent="0.25">
      <c r="A38" s="22" t="s">
        <v>182</v>
      </c>
      <c r="B38" s="23" t="s">
        <v>129</v>
      </c>
      <c r="C38" s="15">
        <v>7002</v>
      </c>
      <c r="D38" s="15">
        <v>6886</v>
      </c>
      <c r="E38" s="15">
        <v>116</v>
      </c>
      <c r="F38" s="15">
        <v>2759</v>
      </c>
      <c r="G38" s="16">
        <v>5.7291666666666663E-3</v>
      </c>
      <c r="H38" s="16">
        <v>5.7986111111111112E-3</v>
      </c>
      <c r="I38" s="25">
        <v>1.4918981481481481E-2</v>
      </c>
    </row>
    <row r="39" spans="1:9" x14ac:dyDescent="0.25">
      <c r="A39" s="22" t="s">
        <v>182</v>
      </c>
      <c r="B39" s="23" t="s">
        <v>117</v>
      </c>
      <c r="C39" s="15">
        <v>5440</v>
      </c>
      <c r="D39" s="15">
        <v>5379</v>
      </c>
      <c r="E39" s="15">
        <v>61</v>
      </c>
      <c r="F39" s="15">
        <v>2116</v>
      </c>
      <c r="G39" s="16">
        <v>4.5486111111111109E-3</v>
      </c>
      <c r="H39" s="16">
        <v>6.7013888888888887E-3</v>
      </c>
      <c r="I39" s="25">
        <v>1.2569444444444444E-2</v>
      </c>
    </row>
    <row r="40" spans="1:9" x14ac:dyDescent="0.25">
      <c r="A40" s="22" t="s">
        <v>182</v>
      </c>
      <c r="B40" s="23" t="s">
        <v>135</v>
      </c>
      <c r="C40" s="15">
        <v>4780</v>
      </c>
      <c r="D40" s="15">
        <v>4634</v>
      </c>
      <c r="E40" s="15">
        <v>146</v>
      </c>
      <c r="F40" s="15">
        <v>1800</v>
      </c>
      <c r="G40" s="16">
        <v>9.0046296296296298E-3</v>
      </c>
      <c r="H40" s="16">
        <v>5.4745370370370373E-3</v>
      </c>
      <c r="I40" s="25">
        <v>1.5694444444444445E-2</v>
      </c>
    </row>
    <row r="41" spans="1:9" x14ac:dyDescent="0.25">
      <c r="A41" s="22" t="s">
        <v>182</v>
      </c>
      <c r="B41" s="23" t="s">
        <v>209</v>
      </c>
      <c r="C41" s="15">
        <v>8418</v>
      </c>
      <c r="D41" s="15">
        <v>8373</v>
      </c>
      <c r="E41" s="15">
        <v>45</v>
      </c>
      <c r="F41" s="15">
        <v>2950</v>
      </c>
      <c r="G41" s="16">
        <v>8.067129629629629E-3</v>
      </c>
      <c r="H41" s="16">
        <v>4.7337962962962967E-3</v>
      </c>
      <c r="I41" s="25">
        <v>1.4675925925925926E-2</v>
      </c>
    </row>
    <row r="42" spans="1:9" x14ac:dyDescent="0.25">
      <c r="A42" s="22" t="s">
        <v>182</v>
      </c>
      <c r="B42" s="23" t="s">
        <v>223</v>
      </c>
      <c r="C42" s="15">
        <v>2794</v>
      </c>
      <c r="D42" s="15">
        <v>2785</v>
      </c>
      <c r="E42" s="15">
        <v>9</v>
      </c>
      <c r="F42" s="15">
        <v>784</v>
      </c>
      <c r="G42" s="16">
        <v>2.9513888888888888E-3</v>
      </c>
      <c r="H42" s="16">
        <v>5.0578703703703706E-3</v>
      </c>
      <c r="I42" s="25">
        <v>9.5833333333333326E-3</v>
      </c>
    </row>
    <row r="43" spans="1:9" x14ac:dyDescent="0.25">
      <c r="A43" s="22" t="s">
        <v>182</v>
      </c>
      <c r="B43" s="23" t="s">
        <v>109</v>
      </c>
      <c r="C43" s="15">
        <v>11922</v>
      </c>
      <c r="D43" s="15">
        <v>11801</v>
      </c>
      <c r="E43" s="15">
        <v>121</v>
      </c>
      <c r="F43" s="15">
        <v>4078</v>
      </c>
      <c r="G43" s="16">
        <v>1.019675925925926E-2</v>
      </c>
      <c r="H43" s="16">
        <v>4.7685185185185183E-3</v>
      </c>
      <c r="I43" s="25">
        <v>1.9363425925925926E-2</v>
      </c>
    </row>
    <row r="44" spans="1:9" x14ac:dyDescent="0.25">
      <c r="A44" s="22" t="s">
        <v>182</v>
      </c>
      <c r="B44" s="23" t="s">
        <v>166</v>
      </c>
      <c r="C44" s="15">
        <v>1902</v>
      </c>
      <c r="D44" s="15">
        <v>1808</v>
      </c>
      <c r="E44" s="15">
        <v>94</v>
      </c>
      <c r="F44" s="15">
        <v>645</v>
      </c>
      <c r="G44" s="16">
        <v>5.6944444444444447E-3</v>
      </c>
      <c r="H44" s="16">
        <v>6.2962962962962964E-3</v>
      </c>
      <c r="I44" s="25">
        <v>1.224537037037037E-2</v>
      </c>
    </row>
    <row r="45" spans="1:9" x14ac:dyDescent="0.25">
      <c r="A45" s="22" t="s">
        <v>182</v>
      </c>
      <c r="B45" s="23" t="s">
        <v>124</v>
      </c>
      <c r="C45" s="15">
        <v>5438</v>
      </c>
      <c r="D45" s="15">
        <v>5380</v>
      </c>
      <c r="E45" s="15">
        <v>58</v>
      </c>
      <c r="F45" s="15">
        <v>2264</v>
      </c>
      <c r="G45" s="16">
        <v>4.8263888888888887E-3</v>
      </c>
      <c r="H45" s="16">
        <v>6.8634259259259256E-3</v>
      </c>
      <c r="I45" s="25">
        <v>1.4513888888888889E-2</v>
      </c>
    </row>
    <row r="46" spans="1:9" x14ac:dyDescent="0.25">
      <c r="A46" s="22" t="s">
        <v>182</v>
      </c>
      <c r="B46" s="23" t="s">
        <v>133</v>
      </c>
      <c r="C46" s="15">
        <v>4783</v>
      </c>
      <c r="D46" s="15">
        <v>4714</v>
      </c>
      <c r="E46" s="15">
        <v>69</v>
      </c>
      <c r="F46" s="15">
        <v>1681</v>
      </c>
      <c r="G46" s="16">
        <v>5.1967592592592595E-3</v>
      </c>
      <c r="H46" s="16">
        <v>5.4513888888888893E-3</v>
      </c>
      <c r="I46" s="25">
        <v>1.2835648148148148E-2</v>
      </c>
    </row>
    <row r="47" spans="1:9" x14ac:dyDescent="0.25">
      <c r="A47" s="22" t="s">
        <v>182</v>
      </c>
      <c r="B47" s="23" t="s">
        <v>140</v>
      </c>
      <c r="C47" s="15">
        <v>2960</v>
      </c>
      <c r="D47" s="15">
        <v>2856</v>
      </c>
      <c r="E47" s="15">
        <v>104</v>
      </c>
      <c r="F47" s="15">
        <v>1170</v>
      </c>
      <c r="G47" s="16">
        <v>5.6134259259259262E-3</v>
      </c>
      <c r="H47" s="16">
        <v>6.4467592592592588E-3</v>
      </c>
      <c r="I47" s="25">
        <v>1.2766203703703703E-2</v>
      </c>
    </row>
    <row r="48" spans="1:9" x14ac:dyDescent="0.25">
      <c r="A48" s="22" t="s">
        <v>182</v>
      </c>
      <c r="B48" s="23" t="s">
        <v>151</v>
      </c>
      <c r="C48" s="15">
        <v>3042</v>
      </c>
      <c r="D48" s="15">
        <v>3028</v>
      </c>
      <c r="E48" s="15">
        <v>14</v>
      </c>
      <c r="F48" s="15">
        <v>1088</v>
      </c>
      <c r="G48" s="16">
        <v>1.7824074074074075E-3</v>
      </c>
      <c r="H48" s="16">
        <v>7.1643518518518514E-3</v>
      </c>
      <c r="I48" s="25">
        <v>9.1435185185185178E-3</v>
      </c>
    </row>
    <row r="49" spans="1:9" x14ac:dyDescent="0.25">
      <c r="A49" s="22" t="s">
        <v>182</v>
      </c>
      <c r="B49" s="23" t="s">
        <v>208</v>
      </c>
      <c r="C49" s="15">
        <v>8588</v>
      </c>
      <c r="D49" s="15">
        <v>8528</v>
      </c>
      <c r="E49" s="15">
        <v>60</v>
      </c>
      <c r="F49" s="15">
        <v>3207</v>
      </c>
      <c r="G49" s="16">
        <v>1.1435185185185185E-2</v>
      </c>
      <c r="H49" s="16">
        <v>6.3888888888888893E-3</v>
      </c>
      <c r="I49" s="25">
        <v>1.9571759259259261E-2</v>
      </c>
    </row>
    <row r="50" spans="1:9" x14ac:dyDescent="0.25">
      <c r="A50" s="22" t="s">
        <v>182</v>
      </c>
      <c r="B50" s="23" t="s">
        <v>108</v>
      </c>
      <c r="C50" s="15">
        <v>9636</v>
      </c>
      <c r="D50" s="15">
        <v>9566</v>
      </c>
      <c r="E50" s="15">
        <v>70</v>
      </c>
      <c r="F50" s="15">
        <v>3825</v>
      </c>
      <c r="G50" s="16">
        <v>8.0902777777777778E-3</v>
      </c>
      <c r="H50" s="16">
        <v>5.3587962962962964E-3</v>
      </c>
      <c r="I50" s="25">
        <v>1.5902777777777776E-2</v>
      </c>
    </row>
    <row r="51" spans="1:9" x14ac:dyDescent="0.25">
      <c r="A51" s="22" t="s">
        <v>182</v>
      </c>
      <c r="B51" s="23" t="s">
        <v>116</v>
      </c>
      <c r="C51" s="15">
        <v>4283</v>
      </c>
      <c r="D51" s="15">
        <v>4237</v>
      </c>
      <c r="E51" s="15">
        <v>46</v>
      </c>
      <c r="F51" s="15">
        <v>1844</v>
      </c>
      <c r="G51" s="16">
        <v>3.1828703703703702E-3</v>
      </c>
      <c r="H51" s="16">
        <v>6.851851851851852E-3</v>
      </c>
      <c r="I51" s="25">
        <v>1.1030092592592593E-2</v>
      </c>
    </row>
    <row r="52" spans="1:9" x14ac:dyDescent="0.25">
      <c r="A52" s="22" t="s">
        <v>182</v>
      </c>
      <c r="B52" s="23" t="s">
        <v>229</v>
      </c>
      <c r="C52" s="15">
        <v>1425</v>
      </c>
      <c r="D52" s="15">
        <v>1381</v>
      </c>
      <c r="E52" s="15">
        <v>44</v>
      </c>
      <c r="F52" s="15">
        <v>565</v>
      </c>
      <c r="G52" s="16">
        <v>2.5347222222222221E-3</v>
      </c>
      <c r="H52" s="16">
        <v>7.6273148148148151E-3</v>
      </c>
      <c r="I52" s="25">
        <v>1.1550925925925926E-2</v>
      </c>
    </row>
    <row r="53" spans="1:9" x14ac:dyDescent="0.25">
      <c r="A53" s="22" t="s">
        <v>182</v>
      </c>
      <c r="B53" s="23" t="s">
        <v>210</v>
      </c>
      <c r="C53" s="15">
        <v>7774</v>
      </c>
      <c r="D53" s="15">
        <v>7701</v>
      </c>
      <c r="E53" s="15">
        <v>73</v>
      </c>
      <c r="F53" s="15">
        <v>2798</v>
      </c>
      <c r="G53" s="16">
        <v>1.4340277777777778E-2</v>
      </c>
      <c r="H53" s="16">
        <v>6.1805555555555555E-3</v>
      </c>
      <c r="I53" s="25">
        <v>2.1250000000000002E-2</v>
      </c>
    </row>
    <row r="54" spans="1:9" x14ac:dyDescent="0.25">
      <c r="A54" s="22" t="s">
        <v>182</v>
      </c>
      <c r="B54" s="23" t="s">
        <v>142</v>
      </c>
      <c r="C54" s="15">
        <v>5355</v>
      </c>
      <c r="D54" s="15">
        <v>5329</v>
      </c>
      <c r="E54" s="15">
        <v>26</v>
      </c>
      <c r="F54" s="15">
        <v>1927</v>
      </c>
      <c r="G54" s="16">
        <v>4.8495370370370368E-3</v>
      </c>
      <c r="H54" s="16">
        <v>5.5092592592592589E-3</v>
      </c>
      <c r="I54" s="25">
        <v>1.1782407407407408E-2</v>
      </c>
    </row>
    <row r="55" spans="1:9" x14ac:dyDescent="0.25">
      <c r="A55" s="22" t="s">
        <v>182</v>
      </c>
      <c r="B55" s="23" t="s">
        <v>122</v>
      </c>
      <c r="C55" s="15">
        <v>8846</v>
      </c>
      <c r="D55" s="15">
        <v>8621</v>
      </c>
      <c r="E55" s="15">
        <v>225</v>
      </c>
      <c r="F55" s="15">
        <v>2681</v>
      </c>
      <c r="G55" s="16">
        <v>8.4606481481481477E-3</v>
      </c>
      <c r="H55" s="16">
        <v>5.162037037037037E-3</v>
      </c>
      <c r="I55" s="25">
        <v>1.667824074074074E-2</v>
      </c>
    </row>
    <row r="56" spans="1:9" x14ac:dyDescent="0.25">
      <c r="A56" s="22" t="s">
        <v>182</v>
      </c>
      <c r="B56" s="23" t="s">
        <v>225</v>
      </c>
      <c r="C56" s="15">
        <v>2474</v>
      </c>
      <c r="D56" s="15">
        <v>2428</v>
      </c>
      <c r="E56" s="15">
        <v>46</v>
      </c>
      <c r="F56" s="15">
        <v>1118</v>
      </c>
      <c r="G56" s="16">
        <v>7.4189814814814813E-3</v>
      </c>
      <c r="H56" s="16">
        <v>4.3518518518518515E-3</v>
      </c>
      <c r="I56" s="25">
        <v>1.2997685185185185E-2</v>
      </c>
    </row>
    <row r="57" spans="1:9" x14ac:dyDescent="0.25">
      <c r="A57" s="22" t="s">
        <v>182</v>
      </c>
      <c r="B57" s="23" t="s">
        <v>213</v>
      </c>
      <c r="C57" s="15">
        <v>5855</v>
      </c>
      <c r="D57" s="15">
        <v>5686</v>
      </c>
      <c r="E57" s="15">
        <v>169</v>
      </c>
      <c r="F57" s="15">
        <v>2062</v>
      </c>
      <c r="G57" s="16">
        <v>5.9490740740740745E-3</v>
      </c>
      <c r="H57" s="16">
        <v>4.2476851851851851E-3</v>
      </c>
      <c r="I57" s="25">
        <v>1.2800925925925926E-2</v>
      </c>
    </row>
    <row r="58" spans="1:9" x14ac:dyDescent="0.25">
      <c r="A58" s="22" t="s">
        <v>182</v>
      </c>
      <c r="B58" s="23" t="s">
        <v>226</v>
      </c>
      <c r="C58" s="15">
        <v>1883</v>
      </c>
      <c r="D58" s="15">
        <v>1818</v>
      </c>
      <c r="E58" s="15">
        <v>65</v>
      </c>
      <c r="F58" s="15">
        <v>831</v>
      </c>
      <c r="G58" s="16">
        <v>4.9768518518518521E-3</v>
      </c>
      <c r="H58" s="16">
        <v>5.1736111111111115E-3</v>
      </c>
      <c r="I58" s="25">
        <v>1.0949074074074075E-2</v>
      </c>
    </row>
    <row r="59" spans="1:9" x14ac:dyDescent="0.25">
      <c r="A59" s="22" t="s">
        <v>182</v>
      </c>
      <c r="B59" s="23" t="s">
        <v>206</v>
      </c>
      <c r="C59" s="15">
        <v>12846</v>
      </c>
      <c r="D59" s="15">
        <v>12505</v>
      </c>
      <c r="E59" s="15">
        <v>341</v>
      </c>
      <c r="F59" s="15">
        <v>4149</v>
      </c>
      <c r="G59" s="16">
        <v>1.6354166666666666E-2</v>
      </c>
      <c r="H59" s="16">
        <v>5.8912037037037041E-3</v>
      </c>
      <c r="I59" s="25">
        <v>2.3009259259259261E-2</v>
      </c>
    </row>
    <row r="60" spans="1:9" x14ac:dyDescent="0.25">
      <c r="A60" s="22" t="s">
        <v>182</v>
      </c>
      <c r="B60" s="23" t="s">
        <v>212</v>
      </c>
      <c r="C60" s="15">
        <v>6525</v>
      </c>
      <c r="D60" s="15">
        <v>6313</v>
      </c>
      <c r="E60" s="15">
        <v>212</v>
      </c>
      <c r="F60" s="15">
        <v>2190</v>
      </c>
      <c r="G60" s="16">
        <v>9.2476851851851852E-3</v>
      </c>
      <c r="H60" s="16">
        <v>5.5787037037037038E-3</v>
      </c>
      <c r="I60" s="25">
        <v>1.6574074074074074E-2</v>
      </c>
    </row>
    <row r="61" spans="1:9" x14ac:dyDescent="0.25">
      <c r="A61" s="22" t="s">
        <v>182</v>
      </c>
      <c r="B61" s="23" t="s">
        <v>214</v>
      </c>
      <c r="C61" s="15">
        <v>5760</v>
      </c>
      <c r="D61" s="15">
        <v>5641</v>
      </c>
      <c r="E61" s="15">
        <v>119</v>
      </c>
      <c r="F61" s="15">
        <v>2157</v>
      </c>
      <c r="G61" s="16">
        <v>7.4537037037037037E-3</v>
      </c>
      <c r="H61" s="16">
        <v>4.9421296296296297E-3</v>
      </c>
      <c r="I61" s="25">
        <v>1.5671296296296298E-2</v>
      </c>
    </row>
    <row r="62" spans="1:9" x14ac:dyDescent="0.25">
      <c r="A62" s="22" t="s">
        <v>182</v>
      </c>
      <c r="B62" s="23" t="s">
        <v>216</v>
      </c>
      <c r="C62" s="15">
        <v>4951</v>
      </c>
      <c r="D62" s="15">
        <v>4869</v>
      </c>
      <c r="E62" s="15">
        <v>82</v>
      </c>
      <c r="F62" s="15">
        <v>1667</v>
      </c>
      <c r="G62" s="16">
        <v>8.773148148148148E-3</v>
      </c>
      <c r="H62" s="16">
        <v>4.9537037037037041E-3</v>
      </c>
      <c r="I62" s="25">
        <v>1.5601851851851851E-2</v>
      </c>
    </row>
    <row r="63" spans="1:9" x14ac:dyDescent="0.25">
      <c r="A63" s="22" t="s">
        <v>182</v>
      </c>
      <c r="B63" s="23" t="s">
        <v>231</v>
      </c>
      <c r="C63" s="15">
        <v>467</v>
      </c>
      <c r="D63" s="15">
        <v>465</v>
      </c>
      <c r="E63" s="15">
        <v>2</v>
      </c>
      <c r="F63" s="15">
        <v>190</v>
      </c>
      <c r="G63" s="16">
        <v>8.0787037037037043E-3</v>
      </c>
      <c r="H63" s="16">
        <v>6.875E-3</v>
      </c>
      <c r="I63" s="25">
        <v>1.6585648148148148E-2</v>
      </c>
    </row>
    <row r="64" spans="1:9" x14ac:dyDescent="0.25">
      <c r="A64" s="22" t="s">
        <v>182</v>
      </c>
      <c r="B64" s="23" t="s">
        <v>176</v>
      </c>
      <c r="C64" s="15">
        <v>101</v>
      </c>
      <c r="D64" s="15">
        <v>91</v>
      </c>
      <c r="E64" s="15">
        <v>10</v>
      </c>
      <c r="F64" s="15">
        <v>34</v>
      </c>
      <c r="G64" s="16">
        <v>2.0613425925925927E-2</v>
      </c>
      <c r="H64" s="16">
        <v>1.173611111111111E-2</v>
      </c>
      <c r="I64" s="25">
        <v>3.3900462962962966E-2</v>
      </c>
    </row>
    <row r="65" spans="1:9" x14ac:dyDescent="0.25">
      <c r="A65" s="22" t="s">
        <v>182</v>
      </c>
      <c r="B65" s="23" t="s">
        <v>232</v>
      </c>
      <c r="C65" s="15">
        <v>411</v>
      </c>
      <c r="D65" s="15">
        <v>404</v>
      </c>
      <c r="E65" s="15">
        <v>7</v>
      </c>
      <c r="F65" s="15">
        <v>192</v>
      </c>
      <c r="G65" s="16">
        <v>4.4791666666666669E-3</v>
      </c>
      <c r="H65" s="16">
        <v>7.1527777777777779E-3</v>
      </c>
      <c r="I65" s="25">
        <v>1.2013888888888888E-2</v>
      </c>
    </row>
    <row r="66" spans="1:9" x14ac:dyDescent="0.25">
      <c r="A66" s="22" t="s">
        <v>182</v>
      </c>
      <c r="B66" s="23" t="s">
        <v>114</v>
      </c>
      <c r="C66" s="15">
        <v>10132</v>
      </c>
      <c r="D66" s="15">
        <v>9993</v>
      </c>
      <c r="E66" s="15">
        <v>139</v>
      </c>
      <c r="F66" s="15">
        <v>3668</v>
      </c>
      <c r="G66" s="16">
        <v>7.9166666666666673E-3</v>
      </c>
      <c r="H66" s="16">
        <v>5.8912037037037041E-3</v>
      </c>
      <c r="I66" s="25">
        <v>1.744212962962963E-2</v>
      </c>
    </row>
    <row r="67" spans="1:9" x14ac:dyDescent="0.25">
      <c r="A67" s="22" t="s">
        <v>182</v>
      </c>
      <c r="B67" s="23" t="s">
        <v>90</v>
      </c>
      <c r="C67" s="15">
        <v>739</v>
      </c>
      <c r="D67" s="15">
        <v>736</v>
      </c>
      <c r="E67" s="15">
        <v>3</v>
      </c>
      <c r="F67" s="15">
        <v>322</v>
      </c>
      <c r="G67" s="16">
        <v>6.7592592592592591E-3</v>
      </c>
      <c r="H67" s="16">
        <v>4.5254629629629629E-3</v>
      </c>
      <c r="I67" s="25">
        <v>1.4537037037037038E-2</v>
      </c>
    </row>
    <row r="68" spans="1:9" x14ac:dyDescent="0.25">
      <c r="B68" s="17" t="s">
        <v>91</v>
      </c>
      <c r="C68" s="17">
        <v>324209</v>
      </c>
      <c r="D68" s="17">
        <v>318906</v>
      </c>
      <c r="E68" s="17">
        <v>5303</v>
      </c>
      <c r="F68" s="17">
        <v>119288</v>
      </c>
      <c r="G68" s="18">
        <v>7.8009259259259256E-3</v>
      </c>
      <c r="H68" s="18">
        <v>5.9027777777777776E-3</v>
      </c>
      <c r="I68" s="26">
        <v>1.5740740740740739E-2</v>
      </c>
    </row>
    <row r="70" spans="1:9" ht="21" x14ac:dyDescent="0.25">
      <c r="A70" s="85" t="s">
        <v>21</v>
      </c>
      <c r="B70" s="85"/>
      <c r="C70" s="85"/>
      <c r="D70" s="85"/>
      <c r="E70" s="85"/>
      <c r="F70" s="85"/>
      <c r="G70" s="85"/>
      <c r="H70" s="85"/>
    </row>
    <row r="72" spans="1:9" x14ac:dyDescent="0.25">
      <c r="A72" s="22" t="s">
        <v>181</v>
      </c>
      <c r="B72" s="21" t="s">
        <v>189</v>
      </c>
      <c r="C72" s="14" t="s">
        <v>185</v>
      </c>
      <c r="D72" s="14" t="s">
        <v>186</v>
      </c>
      <c r="E72" s="14" t="s">
        <v>187</v>
      </c>
      <c r="F72" s="14" t="s">
        <v>188</v>
      </c>
      <c r="G72" s="14" t="s">
        <v>24</v>
      </c>
      <c r="H72" s="14" t="s">
        <v>25</v>
      </c>
      <c r="I72" s="24" t="s">
        <v>26</v>
      </c>
    </row>
    <row r="73" spans="1:9" x14ac:dyDescent="0.25">
      <c r="A73" s="22" t="s">
        <v>183</v>
      </c>
      <c r="B73" s="23" t="s">
        <v>27</v>
      </c>
      <c r="C73" s="15">
        <v>692</v>
      </c>
      <c r="D73" s="15">
        <v>689</v>
      </c>
      <c r="E73" s="15">
        <v>3</v>
      </c>
      <c r="F73" s="15">
        <v>310</v>
      </c>
      <c r="G73" s="16">
        <v>5.347222222222222E-3</v>
      </c>
      <c r="H73" s="16">
        <v>4.7569444444444447E-3</v>
      </c>
      <c r="I73" s="25">
        <v>1.050925925925926E-2</v>
      </c>
    </row>
    <row r="74" spans="1:9" x14ac:dyDescent="0.25">
      <c r="A74" s="22" t="s">
        <v>183</v>
      </c>
      <c r="B74" s="23" t="s">
        <v>28</v>
      </c>
      <c r="C74" s="15">
        <v>1288</v>
      </c>
      <c r="D74" s="15">
        <v>1217</v>
      </c>
      <c r="E74" s="15">
        <v>71</v>
      </c>
      <c r="F74" s="15">
        <v>453</v>
      </c>
      <c r="G74" s="16">
        <v>5.208333333333333E-3</v>
      </c>
      <c r="H74" s="16">
        <v>8.5416666666666662E-3</v>
      </c>
      <c r="I74" s="25">
        <v>1.4166666666666666E-2</v>
      </c>
    </row>
    <row r="75" spans="1:9" x14ac:dyDescent="0.25">
      <c r="A75" s="22" t="s">
        <v>183</v>
      </c>
      <c r="B75" s="23" t="s">
        <v>29</v>
      </c>
      <c r="C75" s="15">
        <v>869</v>
      </c>
      <c r="D75" s="15">
        <v>859</v>
      </c>
      <c r="E75" s="15">
        <v>10</v>
      </c>
      <c r="F75" s="15">
        <v>313</v>
      </c>
      <c r="G75" s="16">
        <v>1.0277777777777778E-2</v>
      </c>
      <c r="H75" s="16">
        <v>5.6249999999999998E-3</v>
      </c>
      <c r="I75" s="25">
        <v>1.6527777777777777E-2</v>
      </c>
    </row>
    <row r="76" spans="1:9" x14ac:dyDescent="0.25">
      <c r="A76" s="22" t="s">
        <v>183</v>
      </c>
      <c r="B76" s="23" t="s">
        <v>30</v>
      </c>
      <c r="C76" s="15">
        <v>3421</v>
      </c>
      <c r="D76" s="15">
        <v>3398</v>
      </c>
      <c r="E76" s="15">
        <v>23</v>
      </c>
      <c r="F76" s="15">
        <v>1406</v>
      </c>
      <c r="G76" s="16">
        <v>4.3287037037037035E-3</v>
      </c>
      <c r="H76" s="16">
        <v>6.6435185185185182E-3</v>
      </c>
      <c r="I76" s="25">
        <v>1.2291666666666666E-2</v>
      </c>
    </row>
    <row r="77" spans="1:9" x14ac:dyDescent="0.25">
      <c r="A77" s="22" t="s">
        <v>183</v>
      </c>
      <c r="B77" s="23" t="s">
        <v>31</v>
      </c>
      <c r="C77" s="15">
        <v>1021</v>
      </c>
      <c r="D77" s="15">
        <v>1016</v>
      </c>
      <c r="E77" s="15">
        <v>5</v>
      </c>
      <c r="F77" s="15">
        <v>428</v>
      </c>
      <c r="G77" s="16">
        <v>1.8055555555555555E-3</v>
      </c>
      <c r="H77" s="16">
        <v>6.5740740740740742E-3</v>
      </c>
      <c r="I77" s="25">
        <v>8.5300925925925926E-3</v>
      </c>
    </row>
    <row r="78" spans="1:9" x14ac:dyDescent="0.25">
      <c r="A78" s="22" t="s">
        <v>183</v>
      </c>
      <c r="B78" s="23" t="s">
        <v>32</v>
      </c>
      <c r="C78" s="15">
        <v>3674</v>
      </c>
      <c r="D78" s="15">
        <v>3484</v>
      </c>
      <c r="E78" s="15">
        <v>190</v>
      </c>
      <c r="F78" s="15">
        <v>1485</v>
      </c>
      <c r="G78" s="16">
        <v>3.2523148148148147E-3</v>
      </c>
      <c r="H78" s="16">
        <v>6.9097222222222225E-3</v>
      </c>
      <c r="I78" s="25">
        <v>1.0717592592592593E-2</v>
      </c>
    </row>
    <row r="79" spans="1:9" x14ac:dyDescent="0.25">
      <c r="A79" s="22" t="s">
        <v>183</v>
      </c>
      <c r="B79" s="23" t="s">
        <v>33</v>
      </c>
      <c r="C79" s="15">
        <v>10172</v>
      </c>
      <c r="D79" s="15">
        <v>9952</v>
      </c>
      <c r="E79" s="15">
        <v>220</v>
      </c>
      <c r="F79" s="15">
        <v>3852</v>
      </c>
      <c r="G79" s="16">
        <v>5.1273148148148146E-3</v>
      </c>
      <c r="H79" s="16">
        <v>6.5046296296296293E-3</v>
      </c>
      <c r="I79" s="25">
        <v>1.2442129629629629E-2</v>
      </c>
    </row>
    <row r="80" spans="1:9" x14ac:dyDescent="0.25">
      <c r="A80" s="22" t="s">
        <v>183</v>
      </c>
      <c r="B80" s="23" t="s">
        <v>34</v>
      </c>
      <c r="C80" s="15">
        <v>1185</v>
      </c>
      <c r="D80" s="15">
        <v>1158</v>
      </c>
      <c r="E80" s="15">
        <v>27</v>
      </c>
      <c r="F80" s="15">
        <v>397</v>
      </c>
      <c r="G80" s="16">
        <v>6.030092592592593E-3</v>
      </c>
      <c r="H80" s="16">
        <v>5.138888888888889E-3</v>
      </c>
      <c r="I80" s="25">
        <v>1.1712962962962963E-2</v>
      </c>
    </row>
    <row r="81" spans="1:9" x14ac:dyDescent="0.25">
      <c r="A81" s="22" t="s">
        <v>183</v>
      </c>
      <c r="B81" s="23" t="s">
        <v>35</v>
      </c>
      <c r="C81" s="15">
        <v>3089</v>
      </c>
      <c r="D81" s="15">
        <v>3031</v>
      </c>
      <c r="E81" s="15">
        <v>58</v>
      </c>
      <c r="F81" s="15">
        <v>1182</v>
      </c>
      <c r="G81" s="16">
        <v>3.8310185185185183E-3</v>
      </c>
      <c r="H81" s="16">
        <v>5.2777777777777779E-3</v>
      </c>
      <c r="I81" s="25">
        <v>1.03125E-2</v>
      </c>
    </row>
    <row r="82" spans="1:9" x14ac:dyDescent="0.25">
      <c r="A82" s="22" t="s">
        <v>183</v>
      </c>
      <c r="B82" s="23" t="s">
        <v>36</v>
      </c>
      <c r="C82" s="15">
        <v>2094</v>
      </c>
      <c r="D82" s="15">
        <v>2089</v>
      </c>
      <c r="E82" s="15">
        <v>5</v>
      </c>
      <c r="F82" s="15">
        <v>848</v>
      </c>
      <c r="G82" s="16">
        <v>4.8726851851851848E-3</v>
      </c>
      <c r="H82" s="16">
        <v>5.5902777777777773E-3</v>
      </c>
      <c r="I82" s="25">
        <v>1.1550925925925926E-2</v>
      </c>
    </row>
    <row r="83" spans="1:9" x14ac:dyDescent="0.25">
      <c r="A83" s="22" t="s">
        <v>183</v>
      </c>
      <c r="B83" s="23" t="s">
        <v>37</v>
      </c>
      <c r="C83" s="15">
        <v>1566</v>
      </c>
      <c r="D83" s="15">
        <v>1556</v>
      </c>
      <c r="E83" s="15">
        <v>10</v>
      </c>
      <c r="F83" s="15">
        <v>652</v>
      </c>
      <c r="G83" s="16">
        <v>2.7777777777777779E-3</v>
      </c>
      <c r="H83" s="16">
        <v>7.0023148148148145E-3</v>
      </c>
      <c r="I83" s="25">
        <v>1.0185185185185186E-2</v>
      </c>
    </row>
    <row r="84" spans="1:9" x14ac:dyDescent="0.25">
      <c r="A84" s="22" t="s">
        <v>183</v>
      </c>
      <c r="B84" s="23" t="s">
        <v>38</v>
      </c>
      <c r="C84" s="15">
        <v>1367</v>
      </c>
      <c r="D84" s="15">
        <v>1336</v>
      </c>
      <c r="E84" s="15">
        <v>31</v>
      </c>
      <c r="F84" s="15">
        <v>603</v>
      </c>
      <c r="G84" s="16">
        <v>3.0555555555555557E-3</v>
      </c>
      <c r="H84" s="16">
        <v>6.2152777777777779E-3</v>
      </c>
      <c r="I84" s="25">
        <v>9.8842592592592593E-3</v>
      </c>
    </row>
    <row r="85" spans="1:9" x14ac:dyDescent="0.25">
      <c r="A85" s="22" t="s">
        <v>183</v>
      </c>
      <c r="B85" s="23" t="s">
        <v>39</v>
      </c>
      <c r="C85" s="15">
        <v>6910</v>
      </c>
      <c r="D85" s="15">
        <v>6840</v>
      </c>
      <c r="E85" s="15">
        <v>70</v>
      </c>
      <c r="F85" s="15">
        <v>2665</v>
      </c>
      <c r="G85" s="16">
        <v>6.076388888888889E-3</v>
      </c>
      <c r="H85" s="16">
        <v>6.898148148148148E-3</v>
      </c>
      <c r="I85" s="25">
        <v>1.4444444444444444E-2</v>
      </c>
    </row>
    <row r="86" spans="1:9" x14ac:dyDescent="0.25">
      <c r="A86" s="22" t="s">
        <v>183</v>
      </c>
      <c r="B86" s="23" t="s">
        <v>40</v>
      </c>
      <c r="C86" s="15">
        <v>5984</v>
      </c>
      <c r="D86" s="15">
        <v>5937</v>
      </c>
      <c r="E86" s="15">
        <v>47</v>
      </c>
      <c r="F86" s="15">
        <v>2569</v>
      </c>
      <c r="G86" s="16">
        <v>6.7708333333333336E-3</v>
      </c>
      <c r="H86" s="16">
        <v>5.8680555555555552E-3</v>
      </c>
      <c r="I86" s="25">
        <v>1.525462962962963E-2</v>
      </c>
    </row>
    <row r="87" spans="1:9" x14ac:dyDescent="0.25">
      <c r="A87" s="22" t="s">
        <v>183</v>
      </c>
      <c r="B87" s="23" t="s">
        <v>41</v>
      </c>
      <c r="C87" s="15">
        <v>3896</v>
      </c>
      <c r="D87" s="15">
        <v>3858</v>
      </c>
      <c r="E87" s="15">
        <v>38</v>
      </c>
      <c r="F87" s="15">
        <v>1277</v>
      </c>
      <c r="G87" s="16">
        <v>3.8773148148148148E-3</v>
      </c>
      <c r="H87" s="16">
        <v>5.7060185185185183E-3</v>
      </c>
      <c r="I87" s="25">
        <v>1.0185185185185186E-2</v>
      </c>
    </row>
    <row r="88" spans="1:9" x14ac:dyDescent="0.25">
      <c r="A88" s="22" t="s">
        <v>183</v>
      </c>
      <c r="B88" s="23" t="s">
        <v>42</v>
      </c>
      <c r="C88" s="15">
        <v>3167</v>
      </c>
      <c r="D88" s="15">
        <v>3154</v>
      </c>
      <c r="E88" s="15">
        <v>13</v>
      </c>
      <c r="F88" s="15">
        <v>1180</v>
      </c>
      <c r="G88" s="16">
        <v>7.951388888888888E-3</v>
      </c>
      <c r="H88" s="16">
        <v>6.7939814814814816E-3</v>
      </c>
      <c r="I88" s="25">
        <v>1.6018518518518519E-2</v>
      </c>
    </row>
    <row r="89" spans="1:9" x14ac:dyDescent="0.25">
      <c r="A89" s="22" t="s">
        <v>183</v>
      </c>
      <c r="B89" s="23" t="s">
        <v>43</v>
      </c>
      <c r="C89" s="15">
        <v>2628</v>
      </c>
      <c r="D89" s="15">
        <v>2596</v>
      </c>
      <c r="E89" s="15">
        <v>32</v>
      </c>
      <c r="F89" s="15">
        <v>1042</v>
      </c>
      <c r="G89" s="16">
        <v>4.6064814814814814E-3</v>
      </c>
      <c r="H89" s="16">
        <v>6.1342592592592594E-3</v>
      </c>
      <c r="I89" s="25">
        <v>1.1342592592592593E-2</v>
      </c>
    </row>
    <row r="90" spans="1:9" x14ac:dyDescent="0.25">
      <c r="A90" s="22" t="s">
        <v>183</v>
      </c>
      <c r="B90" s="23" t="s">
        <v>44</v>
      </c>
      <c r="C90" s="15">
        <v>8342</v>
      </c>
      <c r="D90" s="15">
        <v>8298</v>
      </c>
      <c r="E90" s="15">
        <v>44</v>
      </c>
      <c r="F90" s="15">
        <v>3203</v>
      </c>
      <c r="G90" s="16">
        <v>3.6111111111111109E-3</v>
      </c>
      <c r="H90" s="16">
        <v>6.5277777777777782E-3</v>
      </c>
      <c r="I90" s="25">
        <v>1.0925925925925926E-2</v>
      </c>
    </row>
    <row r="91" spans="1:9" x14ac:dyDescent="0.25">
      <c r="A91" s="22" t="s">
        <v>183</v>
      </c>
      <c r="B91" s="23" t="s">
        <v>45</v>
      </c>
      <c r="C91" s="15">
        <v>490</v>
      </c>
      <c r="D91" s="15">
        <v>478</v>
      </c>
      <c r="E91" s="15">
        <v>12</v>
      </c>
      <c r="F91" s="15">
        <v>226</v>
      </c>
      <c r="G91" s="16">
        <v>3.7384259259259259E-3</v>
      </c>
      <c r="H91" s="16">
        <v>4.0162037037037041E-3</v>
      </c>
      <c r="I91" s="25">
        <v>9.7222222222222224E-3</v>
      </c>
    </row>
    <row r="92" spans="1:9" x14ac:dyDescent="0.25">
      <c r="A92" s="22" t="s">
        <v>183</v>
      </c>
      <c r="B92" s="23" t="s">
        <v>46</v>
      </c>
      <c r="C92" s="15">
        <v>7334</v>
      </c>
      <c r="D92" s="15">
        <v>7086</v>
      </c>
      <c r="E92" s="15">
        <v>248</v>
      </c>
      <c r="F92" s="15">
        <v>3060</v>
      </c>
      <c r="G92" s="16">
        <v>4.9305555555555552E-3</v>
      </c>
      <c r="H92" s="16">
        <v>6.875E-3</v>
      </c>
      <c r="I92" s="25">
        <v>1.2870370370370371E-2</v>
      </c>
    </row>
    <row r="93" spans="1:9" ht="30" x14ac:dyDescent="0.25">
      <c r="A93" s="22" t="s">
        <v>183</v>
      </c>
      <c r="B93" s="23" t="s">
        <v>47</v>
      </c>
      <c r="C93" s="15">
        <v>2788</v>
      </c>
      <c r="D93" s="15">
        <v>2778</v>
      </c>
      <c r="E93" s="15">
        <v>10</v>
      </c>
      <c r="F93" s="15">
        <v>1132</v>
      </c>
      <c r="G93" s="16">
        <v>6.099537037037037E-3</v>
      </c>
      <c r="H93" s="16">
        <v>4.6527777777777774E-3</v>
      </c>
      <c r="I93" s="25">
        <v>1.1342592592592593E-2</v>
      </c>
    </row>
    <row r="94" spans="1:9" x14ac:dyDescent="0.25">
      <c r="A94" s="22" t="s">
        <v>183</v>
      </c>
      <c r="B94" s="23" t="s">
        <v>48</v>
      </c>
      <c r="C94" s="15">
        <v>9104</v>
      </c>
      <c r="D94" s="15">
        <v>9033</v>
      </c>
      <c r="E94" s="15">
        <v>71</v>
      </c>
      <c r="F94" s="15">
        <v>3341</v>
      </c>
      <c r="G94" s="16">
        <v>8.2754629629629636E-3</v>
      </c>
      <c r="H94" s="16">
        <v>5.9027777777777776E-3</v>
      </c>
      <c r="I94" s="25">
        <v>1.6458333333333332E-2</v>
      </c>
    </row>
    <row r="95" spans="1:9" x14ac:dyDescent="0.25">
      <c r="A95" s="22" t="s">
        <v>183</v>
      </c>
      <c r="B95" s="23" t="s">
        <v>49</v>
      </c>
      <c r="C95" s="15">
        <v>1343</v>
      </c>
      <c r="D95" s="15">
        <v>1327</v>
      </c>
      <c r="E95" s="15">
        <v>16</v>
      </c>
      <c r="F95" s="15">
        <v>512</v>
      </c>
      <c r="G95" s="16">
        <v>1.6666666666666668E-3</v>
      </c>
      <c r="H95" s="16">
        <v>6.1342592592592594E-3</v>
      </c>
      <c r="I95" s="25">
        <v>8.9004629629629625E-3</v>
      </c>
    </row>
    <row r="96" spans="1:9" x14ac:dyDescent="0.25">
      <c r="A96" s="22" t="s">
        <v>183</v>
      </c>
      <c r="B96" s="23" t="s">
        <v>50</v>
      </c>
      <c r="C96" s="15">
        <v>6713</v>
      </c>
      <c r="D96" s="15">
        <v>6548</v>
      </c>
      <c r="E96" s="15">
        <v>165</v>
      </c>
      <c r="F96" s="15">
        <v>2813</v>
      </c>
      <c r="G96" s="16">
        <v>4.6527777777777774E-3</v>
      </c>
      <c r="H96" s="16">
        <v>6.5740740740740742E-3</v>
      </c>
      <c r="I96" s="25">
        <v>1.2118055555555556E-2</v>
      </c>
    </row>
    <row r="97" spans="1:9" x14ac:dyDescent="0.25">
      <c r="A97" s="22" t="s">
        <v>183</v>
      </c>
      <c r="B97" s="23" t="s">
        <v>51</v>
      </c>
      <c r="C97" s="15">
        <v>2723</v>
      </c>
      <c r="D97" s="15">
        <v>2703</v>
      </c>
      <c r="E97" s="15">
        <v>20</v>
      </c>
      <c r="F97" s="15">
        <v>1172</v>
      </c>
      <c r="G97" s="16">
        <v>3.2175925925925926E-3</v>
      </c>
      <c r="H97" s="16">
        <v>5.0462962962962961E-3</v>
      </c>
      <c r="I97" s="25">
        <v>8.819444444444444E-3</v>
      </c>
    </row>
    <row r="98" spans="1:9" x14ac:dyDescent="0.25">
      <c r="A98" s="22" t="s">
        <v>183</v>
      </c>
      <c r="B98" s="23" t="s">
        <v>52</v>
      </c>
      <c r="C98" s="15">
        <v>9725</v>
      </c>
      <c r="D98" s="15">
        <v>9375</v>
      </c>
      <c r="E98" s="15">
        <v>350</v>
      </c>
      <c r="F98" s="15">
        <v>3098</v>
      </c>
      <c r="G98" s="16">
        <v>7.5578703703703702E-3</v>
      </c>
      <c r="H98" s="16">
        <v>6.2731481481481484E-3</v>
      </c>
      <c r="I98" s="25">
        <v>1.5347222222222222E-2</v>
      </c>
    </row>
    <row r="99" spans="1:9" x14ac:dyDescent="0.25">
      <c r="A99" s="22" t="s">
        <v>183</v>
      </c>
      <c r="B99" s="23" t="s">
        <v>53</v>
      </c>
      <c r="C99" s="15">
        <v>2497</v>
      </c>
      <c r="D99" s="15">
        <v>2458</v>
      </c>
      <c r="E99" s="15">
        <v>39</v>
      </c>
      <c r="F99" s="15">
        <v>1012</v>
      </c>
      <c r="G99" s="16">
        <v>2.7546296296296294E-3</v>
      </c>
      <c r="H99" s="16">
        <v>7.6504629629629631E-3</v>
      </c>
      <c r="I99" s="25">
        <v>1.0625000000000001E-2</v>
      </c>
    </row>
    <row r="100" spans="1:9" x14ac:dyDescent="0.25">
      <c r="A100" s="22" t="s">
        <v>183</v>
      </c>
      <c r="B100" s="23" t="s">
        <v>54</v>
      </c>
      <c r="C100" s="15">
        <v>2354</v>
      </c>
      <c r="D100" s="15">
        <v>2301</v>
      </c>
      <c r="E100" s="15">
        <v>53</v>
      </c>
      <c r="F100" s="15">
        <v>924</v>
      </c>
      <c r="G100" s="16">
        <v>5.5787037037037038E-3</v>
      </c>
      <c r="H100" s="16">
        <v>6.2962962962962964E-3</v>
      </c>
      <c r="I100" s="25">
        <v>1.324074074074074E-2</v>
      </c>
    </row>
    <row r="101" spans="1:9" x14ac:dyDescent="0.25">
      <c r="A101" s="22" t="s">
        <v>183</v>
      </c>
      <c r="B101" s="23" t="s">
        <v>55</v>
      </c>
      <c r="C101" s="15">
        <v>4401</v>
      </c>
      <c r="D101" s="15">
        <v>4384</v>
      </c>
      <c r="E101" s="15">
        <v>17</v>
      </c>
      <c r="F101" s="15">
        <v>1502</v>
      </c>
      <c r="G101" s="16">
        <v>7.951388888888888E-3</v>
      </c>
      <c r="H101" s="16">
        <v>5.8912037037037041E-3</v>
      </c>
      <c r="I101" s="25">
        <v>1.6527777777777777E-2</v>
      </c>
    </row>
    <row r="102" spans="1:9" x14ac:dyDescent="0.25">
      <c r="A102" s="22" t="s">
        <v>183</v>
      </c>
      <c r="B102" s="23" t="s">
        <v>56</v>
      </c>
      <c r="C102" s="15">
        <v>3327</v>
      </c>
      <c r="D102" s="15">
        <v>3290</v>
      </c>
      <c r="E102" s="15">
        <v>37</v>
      </c>
      <c r="F102" s="15">
        <v>1487</v>
      </c>
      <c r="G102" s="16">
        <v>3.1944444444444446E-3</v>
      </c>
      <c r="H102" s="16">
        <v>5.7523148148148151E-3</v>
      </c>
      <c r="I102" s="25">
        <v>1.03125E-2</v>
      </c>
    </row>
    <row r="103" spans="1:9" x14ac:dyDescent="0.25">
      <c r="A103" s="22" t="s">
        <v>183</v>
      </c>
      <c r="B103" s="23" t="s">
        <v>57</v>
      </c>
      <c r="C103" s="15">
        <v>2439</v>
      </c>
      <c r="D103" s="15">
        <v>2393</v>
      </c>
      <c r="E103" s="15">
        <v>46</v>
      </c>
      <c r="F103" s="15">
        <v>1044</v>
      </c>
      <c r="G103" s="16">
        <v>5.9953703703703705E-3</v>
      </c>
      <c r="H103" s="16">
        <v>6.1342592592592594E-3</v>
      </c>
      <c r="I103" s="25">
        <v>1.3182870370370371E-2</v>
      </c>
    </row>
    <row r="104" spans="1:9" x14ac:dyDescent="0.25">
      <c r="A104" s="22" t="s">
        <v>183</v>
      </c>
      <c r="B104" s="23" t="s">
        <v>58</v>
      </c>
      <c r="C104" s="15">
        <v>6043</v>
      </c>
      <c r="D104" s="15">
        <v>5855</v>
      </c>
      <c r="E104" s="15">
        <v>188</v>
      </c>
      <c r="F104" s="15">
        <v>2120</v>
      </c>
      <c r="G104" s="16">
        <v>4.8958333333333336E-3</v>
      </c>
      <c r="H104" s="16">
        <v>4.8726851851851848E-3</v>
      </c>
      <c r="I104" s="25">
        <v>1.0347222222222223E-2</v>
      </c>
    </row>
    <row r="105" spans="1:9" x14ac:dyDescent="0.25">
      <c r="A105" s="22" t="s">
        <v>183</v>
      </c>
      <c r="B105" s="23" t="s">
        <v>59</v>
      </c>
      <c r="C105" s="15">
        <v>5547</v>
      </c>
      <c r="D105" s="15">
        <v>5526</v>
      </c>
      <c r="E105" s="15">
        <v>21</v>
      </c>
      <c r="F105" s="15">
        <v>1891</v>
      </c>
      <c r="G105" s="16">
        <v>6.8055555555555551E-3</v>
      </c>
      <c r="H105" s="16">
        <v>5.208333333333333E-3</v>
      </c>
      <c r="I105" s="25">
        <v>1.2939814814814815E-2</v>
      </c>
    </row>
    <row r="106" spans="1:9" x14ac:dyDescent="0.25">
      <c r="A106" s="22" t="s">
        <v>183</v>
      </c>
      <c r="B106" s="23" t="s">
        <v>60</v>
      </c>
      <c r="C106" s="15">
        <v>10572</v>
      </c>
      <c r="D106" s="15">
        <v>10495</v>
      </c>
      <c r="E106" s="15">
        <v>77</v>
      </c>
      <c r="F106" s="15">
        <v>3861</v>
      </c>
      <c r="G106" s="16">
        <v>6.6898148148148151E-3</v>
      </c>
      <c r="H106" s="16">
        <v>5.7754629629629631E-3</v>
      </c>
      <c r="I106" s="25">
        <v>1.3645833333333333E-2</v>
      </c>
    </row>
    <row r="107" spans="1:9" x14ac:dyDescent="0.25">
      <c r="A107" s="22" t="s">
        <v>183</v>
      </c>
      <c r="B107" s="23" t="s">
        <v>61</v>
      </c>
      <c r="C107" s="15">
        <v>5715</v>
      </c>
      <c r="D107" s="15">
        <v>5623</v>
      </c>
      <c r="E107" s="15">
        <v>92</v>
      </c>
      <c r="F107" s="15">
        <v>2285</v>
      </c>
      <c r="G107" s="16">
        <v>4.5023148148148149E-3</v>
      </c>
      <c r="H107" s="16">
        <v>5.9375000000000001E-3</v>
      </c>
      <c r="I107" s="25">
        <v>1.2789351851851852E-2</v>
      </c>
    </row>
    <row r="108" spans="1:9" x14ac:dyDescent="0.25">
      <c r="A108" s="22" t="s">
        <v>183</v>
      </c>
      <c r="B108" s="23" t="s">
        <v>62</v>
      </c>
      <c r="C108" s="15">
        <v>4681</v>
      </c>
      <c r="D108" s="15">
        <v>4621</v>
      </c>
      <c r="E108" s="15">
        <v>60</v>
      </c>
      <c r="F108" s="15">
        <v>1790</v>
      </c>
      <c r="G108" s="16">
        <v>3.1365740740740742E-3</v>
      </c>
      <c r="H108" s="16">
        <v>6.4236111111111108E-3</v>
      </c>
      <c r="I108" s="25">
        <v>1.0659722222222221E-2</v>
      </c>
    </row>
    <row r="109" spans="1:9" x14ac:dyDescent="0.25">
      <c r="A109" s="22" t="s">
        <v>183</v>
      </c>
      <c r="B109" s="23" t="s">
        <v>63</v>
      </c>
      <c r="C109" s="15">
        <v>4000</v>
      </c>
      <c r="D109" s="15">
        <v>3891</v>
      </c>
      <c r="E109" s="15">
        <v>109</v>
      </c>
      <c r="F109" s="15">
        <v>1504</v>
      </c>
      <c r="G109" s="16">
        <v>6.851851851851852E-3</v>
      </c>
      <c r="H109" s="16">
        <v>5.9722222222222225E-3</v>
      </c>
      <c r="I109" s="25">
        <v>1.3923611111111111E-2</v>
      </c>
    </row>
    <row r="110" spans="1:9" x14ac:dyDescent="0.25">
      <c r="A110" s="22" t="s">
        <v>183</v>
      </c>
      <c r="B110" s="23" t="s">
        <v>64</v>
      </c>
      <c r="C110" s="15">
        <v>6791</v>
      </c>
      <c r="D110" s="15">
        <v>6762</v>
      </c>
      <c r="E110" s="15">
        <v>29</v>
      </c>
      <c r="F110" s="15">
        <v>2321</v>
      </c>
      <c r="G110" s="16">
        <v>6.4236111111111108E-3</v>
      </c>
      <c r="H110" s="16">
        <v>4.4212962962962964E-3</v>
      </c>
      <c r="I110" s="25">
        <v>1.2488425925925925E-2</v>
      </c>
    </row>
    <row r="111" spans="1:9" x14ac:dyDescent="0.25">
      <c r="A111" s="22" t="s">
        <v>183</v>
      </c>
      <c r="B111" s="23" t="s">
        <v>65</v>
      </c>
      <c r="C111" s="15">
        <v>2638</v>
      </c>
      <c r="D111" s="15">
        <v>2621</v>
      </c>
      <c r="E111" s="15">
        <v>17</v>
      </c>
      <c r="F111" s="15">
        <v>778</v>
      </c>
      <c r="G111" s="16">
        <v>2.8124999999999999E-3</v>
      </c>
      <c r="H111" s="16">
        <v>4.9884259259259257E-3</v>
      </c>
      <c r="I111" s="25">
        <v>9.571759259259259E-3</v>
      </c>
    </row>
    <row r="112" spans="1:9" x14ac:dyDescent="0.25">
      <c r="A112" s="22" t="s">
        <v>183</v>
      </c>
      <c r="B112" s="23" t="s">
        <v>66</v>
      </c>
      <c r="C112" s="15">
        <v>9903</v>
      </c>
      <c r="D112" s="15">
        <v>9829</v>
      </c>
      <c r="E112" s="15">
        <v>74</v>
      </c>
      <c r="F112" s="15">
        <v>3436</v>
      </c>
      <c r="G112" s="16">
        <v>5.7291666666666663E-3</v>
      </c>
      <c r="H112" s="16">
        <v>4.8379629629629632E-3</v>
      </c>
      <c r="I112" s="25">
        <v>1.3784722222222223E-2</v>
      </c>
    </row>
    <row r="113" spans="1:9" x14ac:dyDescent="0.25">
      <c r="A113" s="22" t="s">
        <v>183</v>
      </c>
      <c r="B113" s="23" t="s">
        <v>67</v>
      </c>
      <c r="C113" s="15">
        <v>1559</v>
      </c>
      <c r="D113" s="15">
        <v>1480</v>
      </c>
      <c r="E113" s="15">
        <v>79</v>
      </c>
      <c r="F113" s="15">
        <v>544</v>
      </c>
      <c r="G113" s="16">
        <v>4.1087962962962962E-3</v>
      </c>
      <c r="H113" s="16">
        <v>5.7175925925925927E-3</v>
      </c>
      <c r="I113" s="25">
        <v>9.9768518518518513E-3</v>
      </c>
    </row>
    <row r="114" spans="1:9" x14ac:dyDescent="0.25">
      <c r="A114" s="22" t="s">
        <v>183</v>
      </c>
      <c r="B114" s="23" t="s">
        <v>68</v>
      </c>
      <c r="C114" s="15">
        <v>4510</v>
      </c>
      <c r="D114" s="15">
        <v>4476</v>
      </c>
      <c r="E114" s="15">
        <v>34</v>
      </c>
      <c r="F114" s="15">
        <v>1924</v>
      </c>
      <c r="G114" s="16">
        <v>4.0509259259259257E-3</v>
      </c>
      <c r="H114" s="16">
        <v>7.060185185185185E-3</v>
      </c>
      <c r="I114" s="25">
        <v>1.357638888888889E-2</v>
      </c>
    </row>
    <row r="115" spans="1:9" x14ac:dyDescent="0.25">
      <c r="A115" s="22" t="s">
        <v>183</v>
      </c>
      <c r="B115" s="23" t="s">
        <v>69</v>
      </c>
      <c r="C115" s="15">
        <v>4049</v>
      </c>
      <c r="D115" s="15">
        <v>3953</v>
      </c>
      <c r="E115" s="15">
        <v>96</v>
      </c>
      <c r="F115" s="15">
        <v>1312</v>
      </c>
      <c r="G115" s="16">
        <v>3.460648148148148E-3</v>
      </c>
      <c r="H115" s="16">
        <v>4.8032407407407407E-3</v>
      </c>
      <c r="I115" s="25">
        <v>1.0300925925925925E-2</v>
      </c>
    </row>
    <row r="116" spans="1:9" x14ac:dyDescent="0.25">
      <c r="A116" s="22" t="s">
        <v>183</v>
      </c>
      <c r="B116" s="23" t="s">
        <v>70</v>
      </c>
      <c r="C116" s="15">
        <v>2472</v>
      </c>
      <c r="D116" s="15">
        <v>2409</v>
      </c>
      <c r="E116" s="15">
        <v>63</v>
      </c>
      <c r="F116" s="15">
        <v>964</v>
      </c>
      <c r="G116" s="16">
        <v>4.4560185185185189E-3</v>
      </c>
      <c r="H116" s="16">
        <v>6.3078703703703708E-3</v>
      </c>
      <c r="I116" s="25">
        <v>1.1516203703703704E-2</v>
      </c>
    </row>
    <row r="117" spans="1:9" x14ac:dyDescent="0.25">
      <c r="A117" s="22" t="s">
        <v>183</v>
      </c>
      <c r="B117" s="23" t="s">
        <v>71</v>
      </c>
      <c r="C117" s="15">
        <v>2789</v>
      </c>
      <c r="D117" s="15">
        <v>2774</v>
      </c>
      <c r="E117" s="15">
        <v>15</v>
      </c>
      <c r="F117" s="15">
        <v>964</v>
      </c>
      <c r="G117" s="16">
        <v>1.8981481481481482E-3</v>
      </c>
      <c r="H117" s="16">
        <v>6.4351851851851853E-3</v>
      </c>
      <c r="I117" s="25">
        <v>8.5300925925925926E-3</v>
      </c>
    </row>
    <row r="118" spans="1:9" x14ac:dyDescent="0.25">
      <c r="A118" s="22" t="s">
        <v>183</v>
      </c>
      <c r="B118" s="23" t="s">
        <v>72</v>
      </c>
      <c r="C118" s="15">
        <v>6953</v>
      </c>
      <c r="D118" s="15">
        <v>6906</v>
      </c>
      <c r="E118" s="15">
        <v>47</v>
      </c>
      <c r="F118" s="15">
        <v>2570</v>
      </c>
      <c r="G118" s="16">
        <v>7.8703703703703696E-3</v>
      </c>
      <c r="H118" s="16">
        <v>5.9953703703703705E-3</v>
      </c>
      <c r="I118" s="25">
        <v>1.4618055555555556E-2</v>
      </c>
    </row>
    <row r="119" spans="1:9" x14ac:dyDescent="0.25">
      <c r="A119" s="22" t="s">
        <v>183</v>
      </c>
      <c r="B119" s="23" t="s">
        <v>73</v>
      </c>
      <c r="C119" s="15">
        <v>7763</v>
      </c>
      <c r="D119" s="15">
        <v>7716</v>
      </c>
      <c r="E119" s="15">
        <v>47</v>
      </c>
      <c r="F119" s="15">
        <v>3128</v>
      </c>
      <c r="G119" s="16">
        <v>5.185185185185185E-3</v>
      </c>
      <c r="H119" s="16">
        <v>5.3125000000000004E-3</v>
      </c>
      <c r="I119" s="25">
        <v>1.2129629629629629E-2</v>
      </c>
    </row>
    <row r="120" spans="1:9" x14ac:dyDescent="0.25">
      <c r="A120" s="22" t="s">
        <v>183</v>
      </c>
      <c r="B120" s="23" t="s">
        <v>74</v>
      </c>
      <c r="C120" s="15">
        <v>3887</v>
      </c>
      <c r="D120" s="15">
        <v>3866</v>
      </c>
      <c r="E120" s="15">
        <v>21</v>
      </c>
      <c r="F120" s="15">
        <v>1769</v>
      </c>
      <c r="G120" s="16">
        <v>2.8356481481481483E-3</v>
      </c>
      <c r="H120" s="16">
        <v>7.060185185185185E-3</v>
      </c>
      <c r="I120" s="25">
        <v>1.0706018518518519E-2</v>
      </c>
    </row>
    <row r="121" spans="1:9" ht="30" x14ac:dyDescent="0.25">
      <c r="A121" s="22" t="s">
        <v>183</v>
      </c>
      <c r="B121" s="23" t="s">
        <v>75</v>
      </c>
      <c r="C121" s="15">
        <v>1017</v>
      </c>
      <c r="D121" s="15">
        <v>980</v>
      </c>
      <c r="E121" s="15">
        <v>37</v>
      </c>
      <c r="F121" s="15">
        <v>409</v>
      </c>
      <c r="G121" s="16">
        <v>2.2337962962962962E-3</v>
      </c>
      <c r="H121" s="16">
        <v>7.2916666666666668E-3</v>
      </c>
      <c r="I121" s="25">
        <v>1.0752314814814815E-2</v>
      </c>
    </row>
    <row r="122" spans="1:9" x14ac:dyDescent="0.25">
      <c r="A122" s="22" t="s">
        <v>183</v>
      </c>
      <c r="B122" s="23" t="s">
        <v>76</v>
      </c>
      <c r="C122" s="15">
        <v>6350</v>
      </c>
      <c r="D122" s="15">
        <v>6305</v>
      </c>
      <c r="E122" s="15">
        <v>45</v>
      </c>
      <c r="F122" s="15">
        <v>2354</v>
      </c>
      <c r="G122" s="16">
        <v>1.3981481481481482E-2</v>
      </c>
      <c r="H122" s="16">
        <v>6.0185185185185185E-3</v>
      </c>
      <c r="I122" s="25">
        <v>2.0671296296296295E-2</v>
      </c>
    </row>
    <row r="123" spans="1:9" x14ac:dyDescent="0.25">
      <c r="A123" s="22" t="s">
        <v>183</v>
      </c>
      <c r="B123" s="23" t="s">
        <v>77</v>
      </c>
      <c r="C123" s="15">
        <v>4286</v>
      </c>
      <c r="D123" s="15">
        <v>4265</v>
      </c>
      <c r="E123" s="15">
        <v>21</v>
      </c>
      <c r="F123" s="15">
        <v>1506</v>
      </c>
      <c r="G123" s="16">
        <v>2.7083333333333334E-3</v>
      </c>
      <c r="H123" s="16">
        <v>5.208333333333333E-3</v>
      </c>
      <c r="I123" s="25">
        <v>9.0046296296296298E-3</v>
      </c>
    </row>
    <row r="124" spans="1:9" x14ac:dyDescent="0.25">
      <c r="A124" s="22" t="s">
        <v>183</v>
      </c>
      <c r="B124" s="23" t="s">
        <v>78</v>
      </c>
      <c r="C124" s="15">
        <v>7582</v>
      </c>
      <c r="D124" s="15">
        <v>7416</v>
      </c>
      <c r="E124" s="15">
        <v>166</v>
      </c>
      <c r="F124" s="15">
        <v>2415</v>
      </c>
      <c r="G124" s="16">
        <v>4.9768518518518521E-3</v>
      </c>
      <c r="H124" s="16">
        <v>5.0000000000000001E-3</v>
      </c>
      <c r="I124" s="25">
        <v>1.1944444444444445E-2</v>
      </c>
    </row>
    <row r="125" spans="1:9" x14ac:dyDescent="0.25">
      <c r="A125" s="22" t="s">
        <v>183</v>
      </c>
      <c r="B125" s="23" t="s">
        <v>79</v>
      </c>
      <c r="C125" s="15">
        <v>2010</v>
      </c>
      <c r="D125" s="15">
        <v>1977</v>
      </c>
      <c r="E125" s="15">
        <v>33</v>
      </c>
      <c r="F125" s="15">
        <v>861</v>
      </c>
      <c r="G125" s="16">
        <v>8.8310185185185193E-3</v>
      </c>
      <c r="H125" s="16">
        <v>4.31712962962963E-3</v>
      </c>
      <c r="I125" s="25">
        <v>1.4618055555555556E-2</v>
      </c>
    </row>
    <row r="126" spans="1:9" x14ac:dyDescent="0.25">
      <c r="A126" s="22" t="s">
        <v>183</v>
      </c>
      <c r="B126" s="23" t="s">
        <v>80</v>
      </c>
      <c r="C126" s="15">
        <v>4667</v>
      </c>
      <c r="D126" s="15">
        <v>4559</v>
      </c>
      <c r="E126" s="15">
        <v>108</v>
      </c>
      <c r="F126" s="15">
        <v>1676</v>
      </c>
      <c r="G126" s="16">
        <v>4.0277777777777777E-3</v>
      </c>
      <c r="H126" s="16">
        <v>4.409722222222222E-3</v>
      </c>
      <c r="I126" s="25">
        <v>1.037037037037037E-2</v>
      </c>
    </row>
    <row r="127" spans="1:9" ht="30" x14ac:dyDescent="0.25">
      <c r="A127" s="22" t="s">
        <v>183</v>
      </c>
      <c r="B127" s="23" t="s">
        <v>81</v>
      </c>
      <c r="C127" s="15">
        <v>1476</v>
      </c>
      <c r="D127" s="15">
        <v>1418</v>
      </c>
      <c r="E127" s="15">
        <v>58</v>
      </c>
      <c r="F127" s="15">
        <v>667</v>
      </c>
      <c r="G127" s="16">
        <v>5.6481481481481478E-3</v>
      </c>
      <c r="H127" s="16">
        <v>5.2546296296296299E-3</v>
      </c>
      <c r="I127" s="25">
        <v>1.1620370370370371E-2</v>
      </c>
    </row>
    <row r="128" spans="1:9" ht="30" x14ac:dyDescent="0.25">
      <c r="A128" s="22" t="s">
        <v>183</v>
      </c>
      <c r="B128" s="23" t="s">
        <v>82</v>
      </c>
      <c r="C128" s="15">
        <v>9332</v>
      </c>
      <c r="D128" s="15">
        <v>9114</v>
      </c>
      <c r="E128" s="15">
        <v>218</v>
      </c>
      <c r="F128" s="15">
        <v>3071</v>
      </c>
      <c r="G128" s="16">
        <v>1.1296296296296296E-2</v>
      </c>
      <c r="H128" s="16">
        <v>5.6481481481481478E-3</v>
      </c>
      <c r="I128" s="25">
        <v>1.8263888888888889E-2</v>
      </c>
    </row>
    <row r="129" spans="1:9" x14ac:dyDescent="0.25">
      <c r="A129" s="22" t="s">
        <v>183</v>
      </c>
      <c r="B129" s="23" t="s">
        <v>83</v>
      </c>
      <c r="C129" s="15">
        <v>5561</v>
      </c>
      <c r="D129" s="15">
        <v>5380</v>
      </c>
      <c r="E129" s="15">
        <v>181</v>
      </c>
      <c r="F129" s="15">
        <v>2027</v>
      </c>
      <c r="G129" s="16">
        <v>6.6435185185185182E-3</v>
      </c>
      <c r="H129" s="16">
        <v>5.5092592592592589E-3</v>
      </c>
      <c r="I129" s="25">
        <v>1.3194444444444444E-2</v>
      </c>
    </row>
    <row r="130" spans="1:9" x14ac:dyDescent="0.25">
      <c r="A130" s="22" t="s">
        <v>183</v>
      </c>
      <c r="B130" s="23" t="s">
        <v>84</v>
      </c>
      <c r="C130" s="15">
        <v>4548</v>
      </c>
      <c r="D130" s="15">
        <v>4456</v>
      </c>
      <c r="E130" s="15">
        <v>92</v>
      </c>
      <c r="F130" s="15">
        <v>1795</v>
      </c>
      <c r="G130" s="16">
        <v>4.9305555555555552E-3</v>
      </c>
      <c r="H130" s="16">
        <v>4.7916666666666663E-3</v>
      </c>
      <c r="I130" s="25">
        <v>1.2372685185185184E-2</v>
      </c>
    </row>
    <row r="131" spans="1:9" x14ac:dyDescent="0.25">
      <c r="A131" s="22" t="s">
        <v>183</v>
      </c>
      <c r="B131" s="23" t="s">
        <v>85</v>
      </c>
      <c r="C131" s="15">
        <v>3983</v>
      </c>
      <c r="D131" s="15">
        <v>3759</v>
      </c>
      <c r="E131" s="15">
        <v>224</v>
      </c>
      <c r="F131" s="15">
        <v>1303</v>
      </c>
      <c r="G131" s="16">
        <v>5.6134259259259262E-3</v>
      </c>
      <c r="H131" s="16">
        <v>4.9074074074074072E-3</v>
      </c>
      <c r="I131" s="25">
        <v>1.1446759259259259E-2</v>
      </c>
    </row>
    <row r="132" spans="1:9" x14ac:dyDescent="0.25">
      <c r="A132" s="22" t="s">
        <v>183</v>
      </c>
      <c r="B132" s="23" t="s">
        <v>86</v>
      </c>
      <c r="C132" s="15">
        <v>336</v>
      </c>
      <c r="D132" s="15">
        <v>330</v>
      </c>
      <c r="E132" s="15">
        <v>6</v>
      </c>
      <c r="F132" s="15">
        <v>171</v>
      </c>
      <c r="G132" s="16">
        <v>6.3194444444444444E-3</v>
      </c>
      <c r="H132" s="16">
        <v>5.7175925925925927E-3</v>
      </c>
      <c r="I132" s="25">
        <v>1.4884259259259259E-2</v>
      </c>
    </row>
    <row r="133" spans="1:9" x14ac:dyDescent="0.25">
      <c r="A133" s="22" t="s">
        <v>183</v>
      </c>
      <c r="B133" s="23" t="s">
        <v>87</v>
      </c>
      <c r="C133" s="15">
        <v>86</v>
      </c>
      <c r="D133" s="15">
        <v>86</v>
      </c>
      <c r="E133" s="15">
        <v>0</v>
      </c>
      <c r="F133" s="15">
        <v>37</v>
      </c>
      <c r="G133" s="16">
        <v>5.6018518518518518E-3</v>
      </c>
      <c r="H133" s="16">
        <v>9.9421296296296289E-3</v>
      </c>
      <c r="I133" s="25">
        <v>1.607638888888889E-2</v>
      </c>
    </row>
    <row r="134" spans="1:9" x14ac:dyDescent="0.25">
      <c r="A134" s="22" t="s">
        <v>183</v>
      </c>
      <c r="B134" s="23" t="s">
        <v>88</v>
      </c>
      <c r="C134" s="15">
        <v>256</v>
      </c>
      <c r="D134" s="15">
        <v>255</v>
      </c>
      <c r="E134" s="15">
        <v>1</v>
      </c>
      <c r="F134" s="15">
        <v>113</v>
      </c>
      <c r="G134" s="16">
        <v>4.5370370370370373E-3</v>
      </c>
      <c r="H134" s="16">
        <v>6.053240740740741E-3</v>
      </c>
      <c r="I134" s="25">
        <v>1.0972222222222222E-2</v>
      </c>
    </row>
    <row r="135" spans="1:9" x14ac:dyDescent="0.25">
      <c r="A135" s="22" t="s">
        <v>183</v>
      </c>
      <c r="B135" s="23" t="s">
        <v>89</v>
      </c>
      <c r="C135" s="15">
        <v>8335</v>
      </c>
      <c r="D135" s="15">
        <v>8199</v>
      </c>
      <c r="E135" s="15">
        <v>136</v>
      </c>
      <c r="F135" s="15">
        <v>3139</v>
      </c>
      <c r="G135" s="16">
        <v>5.3587962962962964E-3</v>
      </c>
      <c r="H135" s="16">
        <v>5.9490740740740745E-3</v>
      </c>
      <c r="I135" s="25">
        <v>1.3368055555555555E-2</v>
      </c>
    </row>
    <row r="136" spans="1:9" x14ac:dyDescent="0.25">
      <c r="A136" s="22" t="s">
        <v>183</v>
      </c>
      <c r="B136" s="23" t="s">
        <v>90</v>
      </c>
      <c r="C136" s="15">
        <v>604</v>
      </c>
      <c r="D136" s="15">
        <v>603</v>
      </c>
      <c r="E136" s="15">
        <v>1</v>
      </c>
      <c r="F136" s="15">
        <v>274</v>
      </c>
      <c r="G136" s="16">
        <v>6.9328703703703705E-3</v>
      </c>
      <c r="H136" s="16">
        <v>4.4791666666666669E-3</v>
      </c>
      <c r="I136" s="25">
        <v>1.4108796296296296E-2</v>
      </c>
    </row>
    <row r="137" spans="1:9" x14ac:dyDescent="0.25">
      <c r="B137" s="17" t="s">
        <v>91</v>
      </c>
      <c r="C137" s="17">
        <v>266904</v>
      </c>
      <c r="D137" s="17">
        <v>262527</v>
      </c>
      <c r="E137" s="17">
        <v>4377</v>
      </c>
      <c r="F137" s="17">
        <v>100167</v>
      </c>
      <c r="G137" s="18">
        <v>5.7291666666666663E-3</v>
      </c>
      <c r="H137" s="18">
        <v>5.8333333333333336E-3</v>
      </c>
      <c r="I137" s="26">
        <v>1.2951388888888889E-2</v>
      </c>
    </row>
    <row r="141" spans="1:9" ht="21" x14ac:dyDescent="0.25">
      <c r="B141" s="85" t="s">
        <v>22</v>
      </c>
      <c r="C141" s="85"/>
      <c r="D141" s="85"/>
      <c r="E141" s="85"/>
      <c r="F141" s="85"/>
      <c r="G141" s="85"/>
      <c r="H141" s="85"/>
    </row>
    <row r="143" spans="1:9" x14ac:dyDescent="0.25">
      <c r="A143" s="22" t="s">
        <v>181</v>
      </c>
      <c r="B143" s="21" t="s">
        <v>190</v>
      </c>
      <c r="C143" s="14" t="s">
        <v>185</v>
      </c>
      <c r="D143" s="14" t="s">
        <v>186</v>
      </c>
      <c r="E143" s="14" t="s">
        <v>187</v>
      </c>
      <c r="F143" s="14" t="s">
        <v>188</v>
      </c>
      <c r="G143" s="14" t="s">
        <v>24</v>
      </c>
      <c r="H143" s="14" t="s">
        <v>25</v>
      </c>
      <c r="I143" s="24" t="s">
        <v>26</v>
      </c>
    </row>
    <row r="144" spans="1:9" x14ac:dyDescent="0.25">
      <c r="A144" s="22" t="s">
        <v>184</v>
      </c>
      <c r="B144" s="23" t="s">
        <v>27</v>
      </c>
      <c r="C144" s="15">
        <v>874</v>
      </c>
      <c r="D144" s="15">
        <v>857</v>
      </c>
      <c r="E144" s="15">
        <v>17</v>
      </c>
      <c r="F144" s="15">
        <v>382</v>
      </c>
      <c r="G144" s="16">
        <v>4.6527777777777774E-3</v>
      </c>
      <c r="H144" s="16">
        <v>4.7222222222222223E-3</v>
      </c>
      <c r="I144" s="25">
        <v>9.6759259259259264E-3</v>
      </c>
    </row>
    <row r="145" spans="1:9" x14ac:dyDescent="0.25">
      <c r="A145" s="22" t="s">
        <v>184</v>
      </c>
      <c r="B145" s="23" t="s">
        <v>28</v>
      </c>
      <c r="C145" s="15">
        <v>1509</v>
      </c>
      <c r="D145" s="15">
        <v>1449</v>
      </c>
      <c r="E145" s="15">
        <v>60</v>
      </c>
      <c r="F145" s="15">
        <v>565</v>
      </c>
      <c r="G145" s="16">
        <v>4.1898148148148146E-3</v>
      </c>
      <c r="H145" s="16">
        <v>8.2291666666666659E-3</v>
      </c>
      <c r="I145" s="25">
        <v>1.2951388888888889E-2</v>
      </c>
    </row>
    <row r="146" spans="1:9" x14ac:dyDescent="0.25">
      <c r="A146" s="22" t="s">
        <v>184</v>
      </c>
      <c r="B146" s="23" t="s">
        <v>29</v>
      </c>
      <c r="C146" s="15">
        <v>949</v>
      </c>
      <c r="D146" s="15">
        <v>942</v>
      </c>
      <c r="E146" s="15">
        <v>7</v>
      </c>
      <c r="F146" s="15">
        <v>304</v>
      </c>
      <c r="G146" s="16">
        <v>1.1793981481481482E-2</v>
      </c>
      <c r="H146" s="16">
        <v>5.2314814814814811E-3</v>
      </c>
      <c r="I146" s="25">
        <v>1.7465277777777777E-2</v>
      </c>
    </row>
    <row r="147" spans="1:9" x14ac:dyDescent="0.25">
      <c r="A147" s="22" t="s">
        <v>184</v>
      </c>
      <c r="B147" s="23" t="s">
        <v>30</v>
      </c>
      <c r="C147" s="15">
        <v>3970</v>
      </c>
      <c r="D147" s="15">
        <v>3944</v>
      </c>
      <c r="E147" s="15">
        <v>26</v>
      </c>
      <c r="F147" s="15">
        <v>1664</v>
      </c>
      <c r="G147" s="16">
        <v>3.9467592592592592E-3</v>
      </c>
      <c r="H147" s="16">
        <v>6.5277777777777782E-3</v>
      </c>
      <c r="I147" s="25">
        <v>1.1828703703703704E-2</v>
      </c>
    </row>
    <row r="148" spans="1:9" x14ac:dyDescent="0.25">
      <c r="A148" s="22" t="s">
        <v>184</v>
      </c>
      <c r="B148" s="23" t="s">
        <v>31</v>
      </c>
      <c r="C148" s="15">
        <v>1278</v>
      </c>
      <c r="D148" s="15">
        <v>1274</v>
      </c>
      <c r="E148" s="15">
        <v>4</v>
      </c>
      <c r="F148" s="15">
        <v>510</v>
      </c>
      <c r="G148" s="16">
        <v>1.9328703703703704E-3</v>
      </c>
      <c r="H148" s="16">
        <v>6.4236111111111108E-3</v>
      </c>
      <c r="I148" s="25">
        <v>8.5995370370370375E-3</v>
      </c>
    </row>
    <row r="149" spans="1:9" x14ac:dyDescent="0.25">
      <c r="A149" s="22" t="s">
        <v>184</v>
      </c>
      <c r="B149" s="23" t="s">
        <v>32</v>
      </c>
      <c r="C149" s="15">
        <v>3884</v>
      </c>
      <c r="D149" s="15">
        <v>3720</v>
      </c>
      <c r="E149" s="15">
        <v>164</v>
      </c>
      <c r="F149" s="15">
        <v>1519</v>
      </c>
      <c r="G149" s="16">
        <v>3.5763888888888889E-3</v>
      </c>
      <c r="H149" s="16">
        <v>6.4699074074074077E-3</v>
      </c>
      <c r="I149" s="25">
        <v>1.0578703703703703E-2</v>
      </c>
    </row>
    <row r="150" spans="1:9" x14ac:dyDescent="0.25">
      <c r="A150" s="22" t="s">
        <v>184</v>
      </c>
      <c r="B150" s="23" t="s">
        <v>33</v>
      </c>
      <c r="C150" s="15">
        <v>10844</v>
      </c>
      <c r="D150" s="15">
        <v>10611</v>
      </c>
      <c r="E150" s="15">
        <v>233</v>
      </c>
      <c r="F150" s="15">
        <v>4096</v>
      </c>
      <c r="G150" s="16">
        <v>4.1087962962962962E-3</v>
      </c>
      <c r="H150" s="16">
        <v>6.1805555555555555E-3</v>
      </c>
      <c r="I150" s="25">
        <v>1.105324074074074E-2</v>
      </c>
    </row>
    <row r="151" spans="1:9" x14ac:dyDescent="0.25">
      <c r="A151" s="22" t="s">
        <v>184</v>
      </c>
      <c r="B151" s="23" t="s">
        <v>34</v>
      </c>
      <c r="C151" s="15">
        <v>1330</v>
      </c>
      <c r="D151" s="15">
        <v>1306</v>
      </c>
      <c r="E151" s="15">
        <v>24</v>
      </c>
      <c r="F151" s="15">
        <v>431</v>
      </c>
      <c r="G151" s="16">
        <v>5.0231481481481481E-3</v>
      </c>
      <c r="H151" s="16">
        <v>4.6527777777777774E-3</v>
      </c>
      <c r="I151" s="25">
        <v>1.0150462962962964E-2</v>
      </c>
    </row>
    <row r="152" spans="1:9" x14ac:dyDescent="0.25">
      <c r="A152" s="22" t="s">
        <v>184</v>
      </c>
      <c r="B152" s="23" t="s">
        <v>35</v>
      </c>
      <c r="C152" s="15">
        <v>3604</v>
      </c>
      <c r="D152" s="15">
        <v>3498</v>
      </c>
      <c r="E152" s="15">
        <v>106</v>
      </c>
      <c r="F152" s="15">
        <v>1395</v>
      </c>
      <c r="G152" s="16">
        <v>3.0671296296296297E-3</v>
      </c>
      <c r="H152" s="16">
        <v>5.2893518518518515E-3</v>
      </c>
      <c r="I152" s="25">
        <v>9.479166666666667E-3</v>
      </c>
    </row>
    <row r="153" spans="1:9" x14ac:dyDescent="0.25">
      <c r="A153" s="22" t="s">
        <v>184</v>
      </c>
      <c r="B153" s="23" t="s">
        <v>36</v>
      </c>
      <c r="C153" s="15">
        <v>2122</v>
      </c>
      <c r="D153" s="15">
        <v>2116</v>
      </c>
      <c r="E153" s="15">
        <v>6</v>
      </c>
      <c r="F153" s="15">
        <v>869</v>
      </c>
      <c r="G153" s="16">
        <v>6.4351851851851853E-3</v>
      </c>
      <c r="H153" s="16">
        <v>5.6249999999999998E-3</v>
      </c>
      <c r="I153" s="25">
        <v>1.3252314814814814E-2</v>
      </c>
    </row>
    <row r="154" spans="1:9" x14ac:dyDescent="0.25">
      <c r="A154" s="22" t="s">
        <v>184</v>
      </c>
      <c r="B154" s="23" t="s">
        <v>37</v>
      </c>
      <c r="C154" s="15">
        <v>1925</v>
      </c>
      <c r="D154" s="15">
        <v>1904</v>
      </c>
      <c r="E154" s="15">
        <v>21</v>
      </c>
      <c r="F154" s="15">
        <v>829</v>
      </c>
      <c r="G154" s="16">
        <v>4.3287037037037035E-3</v>
      </c>
      <c r="H154" s="16">
        <v>7.013888888888889E-3</v>
      </c>
      <c r="I154" s="25">
        <v>1.1631944444444445E-2</v>
      </c>
    </row>
    <row r="155" spans="1:9" x14ac:dyDescent="0.25">
      <c r="A155" s="22" t="s">
        <v>184</v>
      </c>
      <c r="B155" s="23" t="s">
        <v>38</v>
      </c>
      <c r="C155" s="15">
        <v>1468</v>
      </c>
      <c r="D155" s="15">
        <v>1451</v>
      </c>
      <c r="E155" s="15">
        <v>17</v>
      </c>
      <c r="F155" s="15">
        <v>649</v>
      </c>
      <c r="G155" s="16">
        <v>2.7546296296296294E-3</v>
      </c>
      <c r="H155" s="16">
        <v>5.8333333333333336E-3</v>
      </c>
      <c r="I155" s="25">
        <v>9.3402777777777772E-3</v>
      </c>
    </row>
    <row r="156" spans="1:9" x14ac:dyDescent="0.25">
      <c r="A156" s="22" t="s">
        <v>184</v>
      </c>
      <c r="B156" s="23" t="s">
        <v>39</v>
      </c>
      <c r="C156" s="15">
        <v>7579</v>
      </c>
      <c r="D156" s="15">
        <v>7510</v>
      </c>
      <c r="E156" s="15">
        <v>69</v>
      </c>
      <c r="F156" s="15">
        <v>2941</v>
      </c>
      <c r="G156" s="16">
        <v>6.1689814814814819E-3</v>
      </c>
      <c r="H156" s="16">
        <v>6.5856481481481478E-3</v>
      </c>
      <c r="I156" s="25">
        <v>1.4212962962962964E-2</v>
      </c>
    </row>
    <row r="157" spans="1:9" x14ac:dyDescent="0.25">
      <c r="A157" s="22" t="s">
        <v>184</v>
      </c>
      <c r="B157" s="23" t="s">
        <v>40</v>
      </c>
      <c r="C157" s="15">
        <v>6457</v>
      </c>
      <c r="D157" s="15">
        <v>6402</v>
      </c>
      <c r="E157" s="15">
        <v>55</v>
      </c>
      <c r="F157" s="15">
        <v>2694</v>
      </c>
      <c r="G157" s="16">
        <v>5.6134259259259262E-3</v>
      </c>
      <c r="H157" s="16">
        <v>5.3819444444444444E-3</v>
      </c>
      <c r="I157" s="25">
        <v>1.337962962962963E-2</v>
      </c>
    </row>
    <row r="158" spans="1:9" x14ac:dyDescent="0.25">
      <c r="A158" s="22" t="s">
        <v>184</v>
      </c>
      <c r="B158" s="23" t="s">
        <v>41</v>
      </c>
      <c r="C158" s="15">
        <v>4307</v>
      </c>
      <c r="D158" s="15">
        <v>4264</v>
      </c>
      <c r="E158" s="15">
        <v>43</v>
      </c>
      <c r="F158" s="15">
        <v>1452</v>
      </c>
      <c r="G158" s="16">
        <v>4.5486111111111109E-3</v>
      </c>
      <c r="H158" s="16">
        <v>5.2777777777777779E-3</v>
      </c>
      <c r="I158" s="25">
        <v>1.0555555555555556E-2</v>
      </c>
    </row>
    <row r="159" spans="1:9" x14ac:dyDescent="0.25">
      <c r="A159" s="22" t="s">
        <v>184</v>
      </c>
      <c r="B159" s="23" t="s">
        <v>42</v>
      </c>
      <c r="C159" s="15">
        <v>3637</v>
      </c>
      <c r="D159" s="15">
        <v>3624</v>
      </c>
      <c r="E159" s="15">
        <v>13</v>
      </c>
      <c r="F159" s="15">
        <v>1185</v>
      </c>
      <c r="G159" s="16">
        <v>1.1724537037037037E-2</v>
      </c>
      <c r="H159" s="16">
        <v>6.6898148148148151E-3</v>
      </c>
      <c r="I159" s="25">
        <v>1.9849537037037037E-2</v>
      </c>
    </row>
    <row r="160" spans="1:9" x14ac:dyDescent="0.25">
      <c r="A160" s="22" t="s">
        <v>184</v>
      </c>
      <c r="B160" s="23" t="s">
        <v>43</v>
      </c>
      <c r="C160" s="15">
        <v>2803</v>
      </c>
      <c r="D160" s="15">
        <v>2779</v>
      </c>
      <c r="E160" s="15">
        <v>24</v>
      </c>
      <c r="F160" s="15">
        <v>1183</v>
      </c>
      <c r="G160" s="16">
        <v>4.7800925925925927E-3</v>
      </c>
      <c r="H160" s="16">
        <v>6.4351851851851853E-3</v>
      </c>
      <c r="I160" s="25">
        <v>1.2094907407407407E-2</v>
      </c>
    </row>
    <row r="161" spans="1:9" x14ac:dyDescent="0.25">
      <c r="A161" s="22" t="s">
        <v>184</v>
      </c>
      <c r="B161" s="23" t="s">
        <v>44</v>
      </c>
      <c r="C161" s="15">
        <v>9801</v>
      </c>
      <c r="D161" s="15">
        <v>9751</v>
      </c>
      <c r="E161" s="15">
        <v>50</v>
      </c>
      <c r="F161" s="15">
        <v>3729</v>
      </c>
      <c r="G161" s="16">
        <v>4.3287037037037035E-3</v>
      </c>
      <c r="H161" s="16">
        <v>6.5740740740740742E-3</v>
      </c>
      <c r="I161" s="25">
        <v>1.1666666666666667E-2</v>
      </c>
    </row>
    <row r="162" spans="1:9" x14ac:dyDescent="0.25">
      <c r="A162" s="22" t="s">
        <v>184</v>
      </c>
      <c r="B162" s="23" t="s">
        <v>45</v>
      </c>
      <c r="C162" s="15">
        <v>656</v>
      </c>
      <c r="D162" s="15">
        <v>651</v>
      </c>
      <c r="E162" s="15">
        <v>5</v>
      </c>
      <c r="F162" s="15">
        <v>273</v>
      </c>
      <c r="G162" s="16">
        <v>3.9814814814814817E-3</v>
      </c>
      <c r="H162" s="16">
        <v>4.0277777777777777E-3</v>
      </c>
      <c r="I162" s="25">
        <v>9.9768518518518513E-3</v>
      </c>
    </row>
    <row r="163" spans="1:9" x14ac:dyDescent="0.25">
      <c r="A163" s="22" t="s">
        <v>184</v>
      </c>
      <c r="B163" s="23" t="s">
        <v>46</v>
      </c>
      <c r="C163" s="15">
        <v>8113</v>
      </c>
      <c r="D163" s="15">
        <v>7962</v>
      </c>
      <c r="E163" s="15">
        <v>151</v>
      </c>
      <c r="F163" s="15">
        <v>3381</v>
      </c>
      <c r="G163" s="16">
        <v>5.1736111111111115E-3</v>
      </c>
      <c r="H163" s="16">
        <v>6.7476851851851856E-3</v>
      </c>
      <c r="I163" s="25">
        <v>1.3159722222222222E-2</v>
      </c>
    </row>
    <row r="164" spans="1:9" ht="30" x14ac:dyDescent="0.25">
      <c r="A164" s="22" t="s">
        <v>184</v>
      </c>
      <c r="B164" s="23" t="s">
        <v>47</v>
      </c>
      <c r="C164" s="15">
        <v>3276</v>
      </c>
      <c r="D164" s="15">
        <v>3261</v>
      </c>
      <c r="E164" s="15">
        <v>15</v>
      </c>
      <c r="F164" s="15">
        <v>1330</v>
      </c>
      <c r="G164" s="16">
        <v>5.0462962962962961E-3</v>
      </c>
      <c r="H164" s="16">
        <v>5.3935185185185188E-3</v>
      </c>
      <c r="I164" s="25">
        <v>1.119212962962963E-2</v>
      </c>
    </row>
    <row r="165" spans="1:9" x14ac:dyDescent="0.25">
      <c r="A165" s="22" t="s">
        <v>184</v>
      </c>
      <c r="B165" s="23" t="s">
        <v>48</v>
      </c>
      <c r="C165" s="15">
        <v>10018</v>
      </c>
      <c r="D165" s="15">
        <v>9924</v>
      </c>
      <c r="E165" s="15">
        <v>94</v>
      </c>
      <c r="F165" s="15">
        <v>3632</v>
      </c>
      <c r="G165" s="16">
        <v>9.1666666666666667E-3</v>
      </c>
      <c r="H165" s="16">
        <v>5.6481481481481478E-3</v>
      </c>
      <c r="I165" s="25">
        <v>1.7280092592592593E-2</v>
      </c>
    </row>
    <row r="166" spans="1:9" x14ac:dyDescent="0.25">
      <c r="A166" s="22" t="s">
        <v>184</v>
      </c>
      <c r="B166" s="23" t="s">
        <v>49</v>
      </c>
      <c r="C166" s="15">
        <v>1412</v>
      </c>
      <c r="D166" s="15">
        <v>1402</v>
      </c>
      <c r="E166" s="15">
        <v>10</v>
      </c>
      <c r="F166" s="15">
        <v>550</v>
      </c>
      <c r="G166" s="16">
        <v>2.0833333333333333E-3</v>
      </c>
      <c r="H166" s="16">
        <v>5.8912037037037041E-3</v>
      </c>
      <c r="I166" s="25">
        <v>8.9930555555555562E-3</v>
      </c>
    </row>
    <row r="167" spans="1:9" x14ac:dyDescent="0.25">
      <c r="A167" s="22" t="s">
        <v>184</v>
      </c>
      <c r="B167" s="23" t="s">
        <v>50</v>
      </c>
      <c r="C167" s="15">
        <v>6243</v>
      </c>
      <c r="D167" s="15">
        <v>6110</v>
      </c>
      <c r="E167" s="15">
        <v>133</v>
      </c>
      <c r="F167" s="15">
        <v>2508</v>
      </c>
      <c r="G167" s="16">
        <v>3.8657407407407408E-3</v>
      </c>
      <c r="H167" s="16">
        <v>6.2152777777777779E-3</v>
      </c>
      <c r="I167" s="25">
        <v>1.0868055555555556E-2</v>
      </c>
    </row>
    <row r="168" spans="1:9" x14ac:dyDescent="0.25">
      <c r="A168" s="22" t="s">
        <v>184</v>
      </c>
      <c r="B168" s="23" t="s">
        <v>51</v>
      </c>
      <c r="C168" s="15">
        <v>3166</v>
      </c>
      <c r="D168" s="15">
        <v>3148</v>
      </c>
      <c r="E168" s="15">
        <v>18</v>
      </c>
      <c r="F168" s="15">
        <v>1361</v>
      </c>
      <c r="G168" s="16">
        <v>4.1435185185185186E-3</v>
      </c>
      <c r="H168" s="16">
        <v>4.9189814814814816E-3</v>
      </c>
      <c r="I168" s="25">
        <v>9.5833333333333326E-3</v>
      </c>
    </row>
    <row r="169" spans="1:9" x14ac:dyDescent="0.25">
      <c r="A169" s="22" t="s">
        <v>184</v>
      </c>
      <c r="B169" s="23" t="s">
        <v>52</v>
      </c>
      <c r="C169" s="15">
        <v>10647</v>
      </c>
      <c r="D169" s="15">
        <v>10139</v>
      </c>
      <c r="E169" s="15">
        <v>508</v>
      </c>
      <c r="F169" s="15">
        <v>3348</v>
      </c>
      <c r="G169" s="16">
        <v>8.9004629629629625E-3</v>
      </c>
      <c r="H169" s="16">
        <v>6.0185185185185185E-3</v>
      </c>
      <c r="I169" s="25">
        <v>1.6516203703703703E-2</v>
      </c>
    </row>
    <row r="170" spans="1:9" x14ac:dyDescent="0.25">
      <c r="A170" s="22" t="s">
        <v>184</v>
      </c>
      <c r="B170" s="23" t="s">
        <v>53</v>
      </c>
      <c r="C170" s="15">
        <v>2689</v>
      </c>
      <c r="D170" s="15">
        <v>2653</v>
      </c>
      <c r="E170" s="15">
        <v>36</v>
      </c>
      <c r="F170" s="15">
        <v>1021</v>
      </c>
      <c r="G170" s="16">
        <v>2.5810185185185185E-3</v>
      </c>
      <c r="H170" s="16">
        <v>7.2569444444444443E-3</v>
      </c>
      <c r="I170" s="25">
        <v>1.0173611111111111E-2</v>
      </c>
    </row>
    <row r="171" spans="1:9" x14ac:dyDescent="0.25">
      <c r="A171" s="22" t="s">
        <v>184</v>
      </c>
      <c r="B171" s="23" t="s">
        <v>54</v>
      </c>
      <c r="C171" s="15">
        <v>2641</v>
      </c>
      <c r="D171" s="15">
        <v>2580</v>
      </c>
      <c r="E171" s="15">
        <v>61</v>
      </c>
      <c r="F171" s="15">
        <v>1066</v>
      </c>
      <c r="G171" s="16">
        <v>3.5995370370370369E-3</v>
      </c>
      <c r="H171" s="16">
        <v>5.9143518518518521E-3</v>
      </c>
      <c r="I171" s="25">
        <v>1.0474537037037037E-2</v>
      </c>
    </row>
    <row r="172" spans="1:9" x14ac:dyDescent="0.25">
      <c r="A172" s="22" t="s">
        <v>184</v>
      </c>
      <c r="B172" s="23" t="s">
        <v>55</v>
      </c>
      <c r="C172" s="15">
        <v>4639</v>
      </c>
      <c r="D172" s="15">
        <v>4633</v>
      </c>
      <c r="E172" s="15">
        <v>6</v>
      </c>
      <c r="F172" s="15">
        <v>1523</v>
      </c>
      <c r="G172" s="16">
        <v>7.6157407407407406E-3</v>
      </c>
      <c r="H172" s="16">
        <v>6.3425925925925924E-3</v>
      </c>
      <c r="I172" s="25">
        <v>1.6226851851851853E-2</v>
      </c>
    </row>
    <row r="173" spans="1:9" x14ac:dyDescent="0.25">
      <c r="A173" s="22" t="s">
        <v>184</v>
      </c>
      <c r="B173" s="23" t="s">
        <v>56</v>
      </c>
      <c r="C173" s="15">
        <v>3623</v>
      </c>
      <c r="D173" s="15">
        <v>3584</v>
      </c>
      <c r="E173" s="15">
        <v>39</v>
      </c>
      <c r="F173" s="15">
        <v>1662</v>
      </c>
      <c r="G173" s="16">
        <v>4.1087962962962962E-3</v>
      </c>
      <c r="H173" s="16">
        <v>5.7060185185185183E-3</v>
      </c>
      <c r="I173" s="25">
        <v>1.150462962962963E-2</v>
      </c>
    </row>
    <row r="174" spans="1:9" x14ac:dyDescent="0.25">
      <c r="A174" s="22" t="s">
        <v>184</v>
      </c>
      <c r="B174" s="23" t="s">
        <v>57</v>
      </c>
      <c r="C174" s="15">
        <v>2667</v>
      </c>
      <c r="D174" s="15">
        <v>2632</v>
      </c>
      <c r="E174" s="15">
        <v>35</v>
      </c>
      <c r="F174" s="15">
        <v>1127</v>
      </c>
      <c r="G174" s="16">
        <v>4.6759259259259263E-3</v>
      </c>
      <c r="H174" s="16">
        <v>5.8217592592592592E-3</v>
      </c>
      <c r="I174" s="25">
        <v>1.1481481481481481E-2</v>
      </c>
    </row>
    <row r="175" spans="1:9" x14ac:dyDescent="0.25">
      <c r="A175" s="22" t="s">
        <v>184</v>
      </c>
      <c r="B175" s="23" t="s">
        <v>58</v>
      </c>
      <c r="C175" s="15">
        <v>6784</v>
      </c>
      <c r="D175" s="15">
        <v>6553</v>
      </c>
      <c r="E175" s="15">
        <v>231</v>
      </c>
      <c r="F175" s="15">
        <v>2407</v>
      </c>
      <c r="G175" s="16">
        <v>3.7152777777777778E-3</v>
      </c>
      <c r="H175" s="16">
        <v>4.9537037037037041E-3</v>
      </c>
      <c r="I175" s="25">
        <v>9.1898148148148156E-3</v>
      </c>
    </row>
    <row r="176" spans="1:9" x14ac:dyDescent="0.25">
      <c r="A176" s="22" t="s">
        <v>184</v>
      </c>
      <c r="B176" s="23" t="s">
        <v>59</v>
      </c>
      <c r="C176" s="15">
        <v>6209</v>
      </c>
      <c r="D176" s="15">
        <v>6169</v>
      </c>
      <c r="E176" s="15">
        <v>40</v>
      </c>
      <c r="F176" s="15">
        <v>2144</v>
      </c>
      <c r="G176" s="16">
        <v>7.0717592592592594E-3</v>
      </c>
      <c r="H176" s="16">
        <v>5.324074074074074E-3</v>
      </c>
      <c r="I176" s="25">
        <v>1.3275462962962963E-2</v>
      </c>
    </row>
    <row r="177" spans="1:9" x14ac:dyDescent="0.25">
      <c r="A177" s="22" t="s">
        <v>184</v>
      </c>
      <c r="B177" s="23" t="s">
        <v>60</v>
      </c>
      <c r="C177" s="15">
        <v>11113</v>
      </c>
      <c r="D177" s="15">
        <v>11026</v>
      </c>
      <c r="E177" s="15">
        <v>87</v>
      </c>
      <c r="F177" s="15">
        <v>4083</v>
      </c>
      <c r="G177" s="16">
        <v>7.3148148148148148E-3</v>
      </c>
      <c r="H177" s="16">
        <v>5.4629629629629629E-3</v>
      </c>
      <c r="I177" s="25">
        <v>1.4027777777777778E-2</v>
      </c>
    </row>
    <row r="178" spans="1:9" x14ac:dyDescent="0.25">
      <c r="A178" s="22" t="s">
        <v>184</v>
      </c>
      <c r="B178" s="23" t="s">
        <v>61</v>
      </c>
      <c r="C178" s="15">
        <v>6485</v>
      </c>
      <c r="D178" s="15">
        <v>6400</v>
      </c>
      <c r="E178" s="15">
        <v>85</v>
      </c>
      <c r="F178" s="15">
        <v>2462</v>
      </c>
      <c r="G178" s="16">
        <v>3.2986111111111111E-3</v>
      </c>
      <c r="H178" s="16">
        <v>5.2199074074074075E-3</v>
      </c>
      <c r="I178" s="25">
        <v>1.0567129629629629E-2</v>
      </c>
    </row>
    <row r="179" spans="1:9" x14ac:dyDescent="0.25">
      <c r="A179" s="22" t="s">
        <v>184</v>
      </c>
      <c r="B179" s="23" t="s">
        <v>62</v>
      </c>
      <c r="C179" s="15">
        <v>4916</v>
      </c>
      <c r="D179" s="15">
        <v>4837</v>
      </c>
      <c r="E179" s="15">
        <v>79</v>
      </c>
      <c r="F179" s="15">
        <v>1868</v>
      </c>
      <c r="G179" s="16">
        <v>2.6967592592592594E-3</v>
      </c>
      <c r="H179" s="16">
        <v>6.3541666666666668E-3</v>
      </c>
      <c r="I179" s="25">
        <v>1.0011574074074074E-2</v>
      </c>
    </row>
    <row r="180" spans="1:9" x14ac:dyDescent="0.25">
      <c r="A180" s="22" t="s">
        <v>184</v>
      </c>
      <c r="B180" s="23" t="s">
        <v>63</v>
      </c>
      <c r="C180" s="15">
        <v>4213</v>
      </c>
      <c r="D180" s="15">
        <v>4055</v>
      </c>
      <c r="E180" s="15">
        <v>158</v>
      </c>
      <c r="F180" s="15">
        <v>1737</v>
      </c>
      <c r="G180" s="16">
        <v>4.6180555555555558E-3</v>
      </c>
      <c r="H180" s="16">
        <v>4.9305555555555552E-3</v>
      </c>
      <c r="I180" s="25">
        <v>1.1388888888888889E-2</v>
      </c>
    </row>
    <row r="181" spans="1:9" x14ac:dyDescent="0.25">
      <c r="A181" s="22" t="s">
        <v>184</v>
      </c>
      <c r="B181" s="23" t="s">
        <v>64</v>
      </c>
      <c r="C181" s="15">
        <v>8141</v>
      </c>
      <c r="D181" s="15">
        <v>8105</v>
      </c>
      <c r="E181" s="15">
        <v>36</v>
      </c>
      <c r="F181" s="15">
        <v>2823</v>
      </c>
      <c r="G181" s="16">
        <v>6.4351851851851853E-3</v>
      </c>
      <c r="H181" s="16">
        <v>4.1087962962962962E-3</v>
      </c>
      <c r="I181" s="25">
        <v>1.2870370370370371E-2</v>
      </c>
    </row>
    <row r="182" spans="1:9" x14ac:dyDescent="0.25">
      <c r="A182" s="22" t="s">
        <v>184</v>
      </c>
      <c r="B182" s="23" t="s">
        <v>65</v>
      </c>
      <c r="C182" s="15">
        <v>3089</v>
      </c>
      <c r="D182" s="15">
        <v>3072</v>
      </c>
      <c r="E182" s="15">
        <v>17</v>
      </c>
      <c r="F182" s="15">
        <v>833</v>
      </c>
      <c r="G182" s="16">
        <v>3.3333333333333335E-3</v>
      </c>
      <c r="H182" s="16">
        <v>5.1504629629629626E-3</v>
      </c>
      <c r="I182" s="25">
        <v>9.5370370370370366E-3</v>
      </c>
    </row>
    <row r="183" spans="1:9" x14ac:dyDescent="0.25">
      <c r="A183" s="22" t="s">
        <v>184</v>
      </c>
      <c r="B183" s="23" t="s">
        <v>66</v>
      </c>
      <c r="C183" s="15">
        <v>10996</v>
      </c>
      <c r="D183" s="15">
        <v>10915</v>
      </c>
      <c r="E183" s="15">
        <v>81</v>
      </c>
      <c r="F183" s="15">
        <v>3932</v>
      </c>
      <c r="G183" s="16">
        <v>5.2662037037037035E-3</v>
      </c>
      <c r="H183" s="16">
        <v>4.7685185185185183E-3</v>
      </c>
      <c r="I183" s="25">
        <v>1.3298611111111112E-2</v>
      </c>
    </row>
    <row r="184" spans="1:9" x14ac:dyDescent="0.25">
      <c r="A184" s="22" t="s">
        <v>184</v>
      </c>
      <c r="B184" s="23" t="s">
        <v>67</v>
      </c>
      <c r="C184" s="15">
        <v>3</v>
      </c>
      <c r="D184" s="15">
        <v>3</v>
      </c>
      <c r="E184" s="15">
        <v>0</v>
      </c>
      <c r="F184" s="15">
        <v>1</v>
      </c>
      <c r="G184" s="16">
        <v>1.8749999999999999E-3</v>
      </c>
      <c r="H184" s="16">
        <v>1.5972222222222223E-3</v>
      </c>
      <c r="I184" s="25">
        <v>3.5532407407407409E-3</v>
      </c>
    </row>
    <row r="185" spans="1:9" x14ac:dyDescent="0.25">
      <c r="A185" s="22" t="s">
        <v>184</v>
      </c>
      <c r="B185" s="23" t="s">
        <v>68</v>
      </c>
      <c r="C185" s="15">
        <v>4685</v>
      </c>
      <c r="D185" s="15">
        <v>4643</v>
      </c>
      <c r="E185" s="15">
        <v>42</v>
      </c>
      <c r="F185" s="15">
        <v>2014</v>
      </c>
      <c r="G185" s="16">
        <v>2.1643518518518518E-3</v>
      </c>
      <c r="H185" s="16">
        <v>6.7245370370370367E-3</v>
      </c>
      <c r="I185" s="25">
        <v>1.105324074074074E-2</v>
      </c>
    </row>
    <row r="186" spans="1:9" x14ac:dyDescent="0.25">
      <c r="A186" s="22" t="s">
        <v>184</v>
      </c>
      <c r="B186" s="23" t="s">
        <v>69</v>
      </c>
      <c r="C186" s="15">
        <v>4563</v>
      </c>
      <c r="D186" s="15">
        <v>4495</v>
      </c>
      <c r="E186" s="15">
        <v>68</v>
      </c>
      <c r="F186" s="15">
        <v>1436</v>
      </c>
      <c r="G186" s="16">
        <v>4.2129629629629626E-3</v>
      </c>
      <c r="H186" s="16">
        <v>4.5370370370370373E-3</v>
      </c>
      <c r="I186" s="25">
        <v>1.1006944444444444E-2</v>
      </c>
    </row>
    <row r="187" spans="1:9" x14ac:dyDescent="0.25">
      <c r="A187" s="22" t="s">
        <v>184</v>
      </c>
      <c r="B187" s="23" t="s">
        <v>70</v>
      </c>
      <c r="C187" s="15">
        <v>2422</v>
      </c>
      <c r="D187" s="15">
        <v>2378</v>
      </c>
      <c r="E187" s="15">
        <v>44</v>
      </c>
      <c r="F187" s="15">
        <v>907</v>
      </c>
      <c r="G187" s="16">
        <v>4.3055555555555555E-3</v>
      </c>
      <c r="H187" s="16">
        <v>5.7060185185185183E-3</v>
      </c>
      <c r="I187" s="25">
        <v>1.0567129629629629E-2</v>
      </c>
    </row>
    <row r="188" spans="1:9" x14ac:dyDescent="0.25">
      <c r="A188" s="22" t="s">
        <v>184</v>
      </c>
      <c r="B188" s="23" t="s">
        <v>71</v>
      </c>
      <c r="C188" s="15">
        <v>3182</v>
      </c>
      <c r="D188" s="15">
        <v>3092</v>
      </c>
      <c r="E188" s="15">
        <v>90</v>
      </c>
      <c r="F188" s="15">
        <v>1105</v>
      </c>
      <c r="G188" s="16">
        <v>3.2638888888888891E-3</v>
      </c>
      <c r="H188" s="16">
        <v>6.6550925925925927E-3</v>
      </c>
      <c r="I188" s="25">
        <v>1.0358796296296297E-2</v>
      </c>
    </row>
    <row r="189" spans="1:9" x14ac:dyDescent="0.25">
      <c r="A189" s="22" t="s">
        <v>184</v>
      </c>
      <c r="B189" s="23" t="s">
        <v>72</v>
      </c>
      <c r="C189" s="15">
        <v>7628</v>
      </c>
      <c r="D189" s="15">
        <v>7578</v>
      </c>
      <c r="E189" s="15">
        <v>50</v>
      </c>
      <c r="F189" s="15">
        <v>3007</v>
      </c>
      <c r="G189" s="16">
        <v>7.060185185185185E-3</v>
      </c>
      <c r="H189" s="16">
        <v>6.030092592592593E-3</v>
      </c>
      <c r="I189" s="25">
        <v>1.375E-2</v>
      </c>
    </row>
    <row r="190" spans="1:9" x14ac:dyDescent="0.25">
      <c r="A190" s="22" t="s">
        <v>184</v>
      </c>
      <c r="B190" s="23" t="s">
        <v>73</v>
      </c>
      <c r="C190" s="15">
        <v>7960</v>
      </c>
      <c r="D190" s="15">
        <v>7910</v>
      </c>
      <c r="E190" s="15">
        <v>50</v>
      </c>
      <c r="F190" s="15">
        <v>3149</v>
      </c>
      <c r="G190" s="16">
        <v>5.1041666666666666E-3</v>
      </c>
      <c r="H190" s="16">
        <v>5.4745370370370373E-3</v>
      </c>
      <c r="I190" s="25">
        <v>1.2268518518518519E-2</v>
      </c>
    </row>
    <row r="191" spans="1:9" x14ac:dyDescent="0.25">
      <c r="A191" s="22" t="s">
        <v>184</v>
      </c>
      <c r="B191" s="23" t="s">
        <v>74</v>
      </c>
      <c r="C191" s="15">
        <v>4005</v>
      </c>
      <c r="D191" s="15">
        <v>3987</v>
      </c>
      <c r="E191" s="15">
        <v>18</v>
      </c>
      <c r="F191" s="15">
        <v>1710</v>
      </c>
      <c r="G191" s="16">
        <v>2.8935185185185184E-3</v>
      </c>
      <c r="H191" s="16">
        <v>6.3425925925925924E-3</v>
      </c>
      <c r="I191" s="25">
        <v>1.005787037037037E-2</v>
      </c>
    </row>
    <row r="192" spans="1:9" ht="30" x14ac:dyDescent="0.25">
      <c r="A192" s="22" t="s">
        <v>184</v>
      </c>
      <c r="B192" s="23" t="s">
        <v>75</v>
      </c>
      <c r="C192" s="15">
        <v>1197</v>
      </c>
      <c r="D192" s="15">
        <v>1170</v>
      </c>
      <c r="E192" s="15">
        <v>27</v>
      </c>
      <c r="F192" s="15">
        <v>485</v>
      </c>
      <c r="G192" s="16">
        <v>2.1412037037037038E-3</v>
      </c>
      <c r="H192" s="16">
        <v>6.8055555555555551E-3</v>
      </c>
      <c r="I192" s="25">
        <v>9.8263888888888897E-3</v>
      </c>
    </row>
    <row r="193" spans="1:9" x14ac:dyDescent="0.25">
      <c r="A193" s="22" t="s">
        <v>184</v>
      </c>
      <c r="B193" s="23" t="s">
        <v>76</v>
      </c>
      <c r="C193" s="15">
        <v>6796</v>
      </c>
      <c r="D193" s="15">
        <v>6734</v>
      </c>
      <c r="E193" s="15">
        <v>62</v>
      </c>
      <c r="F193" s="15">
        <v>2485</v>
      </c>
      <c r="G193" s="16">
        <v>1.1597222222222222E-2</v>
      </c>
      <c r="H193" s="16">
        <v>6.1805555555555555E-3</v>
      </c>
      <c r="I193" s="25">
        <v>1.8298611111111113E-2</v>
      </c>
    </row>
    <row r="194" spans="1:9" x14ac:dyDescent="0.25">
      <c r="A194" s="22" t="s">
        <v>184</v>
      </c>
      <c r="B194" s="23" t="s">
        <v>77</v>
      </c>
      <c r="C194" s="15">
        <v>4930</v>
      </c>
      <c r="D194" s="15">
        <v>4914</v>
      </c>
      <c r="E194" s="15">
        <v>16</v>
      </c>
      <c r="F194" s="15">
        <v>1764</v>
      </c>
      <c r="G194" s="16">
        <v>3.3680555555555556E-3</v>
      </c>
      <c r="H194" s="16">
        <v>5.347222222222222E-3</v>
      </c>
      <c r="I194" s="25">
        <v>9.8379629629629633E-3</v>
      </c>
    </row>
    <row r="195" spans="1:9" x14ac:dyDescent="0.25">
      <c r="A195" s="22" t="s">
        <v>184</v>
      </c>
      <c r="B195" s="23" t="s">
        <v>78</v>
      </c>
      <c r="C195" s="15">
        <v>8083</v>
      </c>
      <c r="D195" s="15">
        <v>7862</v>
      </c>
      <c r="E195" s="15">
        <v>221</v>
      </c>
      <c r="F195" s="15">
        <v>2577</v>
      </c>
      <c r="G195" s="16">
        <v>6.7592592592592591E-3</v>
      </c>
      <c r="H195" s="16">
        <v>4.6990740740740743E-3</v>
      </c>
      <c r="I195" s="25">
        <v>1.3935185185185186E-2</v>
      </c>
    </row>
    <row r="196" spans="1:9" x14ac:dyDescent="0.25">
      <c r="A196" s="22" t="s">
        <v>184</v>
      </c>
      <c r="B196" s="23" t="s">
        <v>79</v>
      </c>
      <c r="C196" s="15">
        <v>2245</v>
      </c>
      <c r="D196" s="15">
        <v>2218</v>
      </c>
      <c r="E196" s="15">
        <v>27</v>
      </c>
      <c r="F196" s="15">
        <v>954</v>
      </c>
      <c r="G196" s="16">
        <v>7.1875000000000003E-3</v>
      </c>
      <c r="H196" s="16">
        <v>3.9583333333333337E-3</v>
      </c>
      <c r="I196" s="25">
        <v>1.2835648148148148E-2</v>
      </c>
    </row>
    <row r="197" spans="1:9" x14ac:dyDescent="0.25">
      <c r="A197" s="22" t="s">
        <v>184</v>
      </c>
      <c r="B197" s="23" t="s">
        <v>80</v>
      </c>
      <c r="C197" s="15">
        <v>5328</v>
      </c>
      <c r="D197" s="15">
        <v>5202</v>
      </c>
      <c r="E197" s="15">
        <v>126</v>
      </c>
      <c r="F197" s="15">
        <v>1974</v>
      </c>
      <c r="G197" s="16">
        <v>3.9004629629629628E-3</v>
      </c>
      <c r="H197" s="16">
        <v>4.4560185185185189E-3</v>
      </c>
      <c r="I197" s="25">
        <v>1.03125E-2</v>
      </c>
    </row>
    <row r="198" spans="1:9" ht="30" x14ac:dyDescent="0.25">
      <c r="A198" s="22" t="s">
        <v>184</v>
      </c>
      <c r="B198" s="23" t="s">
        <v>81</v>
      </c>
      <c r="C198" s="15">
        <v>1644</v>
      </c>
      <c r="D198" s="15">
        <v>1607</v>
      </c>
      <c r="E198" s="15">
        <v>37</v>
      </c>
      <c r="F198" s="15">
        <v>752</v>
      </c>
      <c r="G198" s="16">
        <v>5.6134259259259262E-3</v>
      </c>
      <c r="H198" s="16">
        <v>5.9027777777777776E-3</v>
      </c>
      <c r="I198" s="25">
        <v>1.2025462962962963E-2</v>
      </c>
    </row>
    <row r="199" spans="1:9" ht="30" x14ac:dyDescent="0.25">
      <c r="A199" s="22" t="s">
        <v>184</v>
      </c>
      <c r="B199" s="23" t="s">
        <v>82</v>
      </c>
      <c r="C199" s="15">
        <v>11551</v>
      </c>
      <c r="D199" s="15">
        <v>11276</v>
      </c>
      <c r="E199" s="15">
        <v>275</v>
      </c>
      <c r="F199" s="15">
        <v>3862</v>
      </c>
      <c r="G199" s="16">
        <v>1.105324074074074E-2</v>
      </c>
      <c r="H199" s="16">
        <v>5.5671296296296293E-3</v>
      </c>
      <c r="I199" s="25">
        <v>1.7534722222222222E-2</v>
      </c>
    </row>
    <row r="200" spans="1:9" x14ac:dyDescent="0.25">
      <c r="A200" s="22" t="s">
        <v>184</v>
      </c>
      <c r="B200" s="23" t="s">
        <v>83</v>
      </c>
      <c r="C200" s="15">
        <v>6022</v>
      </c>
      <c r="D200" s="15">
        <v>5879</v>
      </c>
      <c r="E200" s="15">
        <v>143</v>
      </c>
      <c r="F200" s="15">
        <v>2111</v>
      </c>
      <c r="G200" s="16">
        <v>6.7476851851851856E-3</v>
      </c>
      <c r="H200" s="16">
        <v>5.7870370370370367E-3</v>
      </c>
      <c r="I200" s="25">
        <v>1.3587962962962963E-2</v>
      </c>
    </row>
    <row r="201" spans="1:9" x14ac:dyDescent="0.25">
      <c r="A201" s="22" t="s">
        <v>184</v>
      </c>
      <c r="B201" s="23" t="s">
        <v>84</v>
      </c>
      <c r="C201" s="15">
        <v>5252</v>
      </c>
      <c r="D201" s="15">
        <v>5139</v>
      </c>
      <c r="E201" s="15">
        <v>113</v>
      </c>
      <c r="F201" s="15">
        <v>2094</v>
      </c>
      <c r="G201" s="16">
        <v>5.6018518518518518E-3</v>
      </c>
      <c r="H201" s="16">
        <v>4.1666666666666666E-3</v>
      </c>
      <c r="I201" s="25">
        <v>1.2916666666666667E-2</v>
      </c>
    </row>
    <row r="202" spans="1:9" x14ac:dyDescent="0.25">
      <c r="A202" s="22" t="s">
        <v>184</v>
      </c>
      <c r="B202" s="23" t="s">
        <v>85</v>
      </c>
      <c r="C202" s="15">
        <v>4609</v>
      </c>
      <c r="D202" s="15">
        <v>4413</v>
      </c>
      <c r="E202" s="15">
        <v>196</v>
      </c>
      <c r="F202" s="15">
        <v>1513</v>
      </c>
      <c r="G202" s="16">
        <v>4.6412037037037038E-3</v>
      </c>
      <c r="H202" s="16">
        <v>4.7453703703703703E-3</v>
      </c>
      <c r="I202" s="25">
        <v>1.0162037037037037E-2</v>
      </c>
    </row>
    <row r="203" spans="1:9" x14ac:dyDescent="0.25">
      <c r="A203" s="22" t="s">
        <v>184</v>
      </c>
      <c r="B203" s="23" t="s">
        <v>86</v>
      </c>
      <c r="C203" s="15">
        <v>341</v>
      </c>
      <c r="D203" s="15">
        <v>339</v>
      </c>
      <c r="E203" s="15">
        <v>2</v>
      </c>
      <c r="F203" s="15">
        <v>160</v>
      </c>
      <c r="G203" s="16">
        <v>5.3587962962962964E-3</v>
      </c>
      <c r="H203" s="16">
        <v>5.1273148148148146E-3</v>
      </c>
      <c r="I203" s="25">
        <v>1.3287037037037036E-2</v>
      </c>
    </row>
    <row r="204" spans="1:9" x14ac:dyDescent="0.25">
      <c r="A204" s="22" t="s">
        <v>184</v>
      </c>
      <c r="B204" s="23" t="s">
        <v>87</v>
      </c>
      <c r="C204" s="15">
        <v>90</v>
      </c>
      <c r="D204" s="15">
        <v>89</v>
      </c>
      <c r="E204" s="15">
        <v>1</v>
      </c>
      <c r="F204" s="15">
        <v>37</v>
      </c>
      <c r="G204" s="16">
        <v>3.6921296296296298E-3</v>
      </c>
      <c r="H204" s="16">
        <v>1.0127314814814815E-2</v>
      </c>
      <c r="I204" s="25">
        <v>1.5092592592592593E-2</v>
      </c>
    </row>
    <row r="205" spans="1:9" x14ac:dyDescent="0.25">
      <c r="A205" s="22" t="s">
        <v>184</v>
      </c>
      <c r="B205" s="23" t="s">
        <v>88</v>
      </c>
      <c r="C205" s="15">
        <v>300</v>
      </c>
      <c r="D205" s="15">
        <v>297</v>
      </c>
      <c r="E205" s="15">
        <v>3</v>
      </c>
      <c r="F205" s="15">
        <v>136</v>
      </c>
      <c r="G205" s="16">
        <v>4.6990740740740743E-3</v>
      </c>
      <c r="H205" s="16">
        <v>5.6481481481481478E-3</v>
      </c>
      <c r="I205" s="25">
        <v>1.0752314814814815E-2</v>
      </c>
    </row>
    <row r="206" spans="1:9" x14ac:dyDescent="0.25">
      <c r="A206" s="22" t="s">
        <v>184</v>
      </c>
      <c r="B206" s="23" t="s">
        <v>89</v>
      </c>
      <c r="C206" s="15">
        <v>9100</v>
      </c>
      <c r="D206" s="15">
        <v>8990</v>
      </c>
      <c r="E206" s="15">
        <v>110</v>
      </c>
      <c r="F206" s="15">
        <v>3483</v>
      </c>
      <c r="G206" s="16">
        <v>5.7407407407407407E-3</v>
      </c>
      <c r="H206" s="16">
        <v>5.7754629629629631E-3</v>
      </c>
      <c r="I206" s="25">
        <v>1.3784722222222223E-2</v>
      </c>
    </row>
    <row r="207" spans="1:9" x14ac:dyDescent="0.25">
      <c r="A207" s="30" t="s">
        <v>184</v>
      </c>
      <c r="B207" s="31" t="s">
        <v>90</v>
      </c>
      <c r="C207" s="32">
        <v>596</v>
      </c>
      <c r="D207" s="32">
        <v>591</v>
      </c>
      <c r="E207" s="32">
        <v>5</v>
      </c>
      <c r="F207" s="32">
        <v>288</v>
      </c>
      <c r="G207" s="33">
        <v>6.5046296296296293E-3</v>
      </c>
      <c r="H207" s="33">
        <v>4.6180555555555558E-3</v>
      </c>
      <c r="I207" s="34">
        <v>1.3935185185185186E-2</v>
      </c>
    </row>
    <row r="208" spans="1:9" x14ac:dyDescent="0.25">
      <c r="B208" s="35" t="s">
        <v>91</v>
      </c>
      <c r="C208" s="35">
        <v>292609</v>
      </c>
      <c r="D208" s="35">
        <v>288019</v>
      </c>
      <c r="E208" s="35">
        <v>4590</v>
      </c>
      <c r="F208" s="35">
        <v>109472</v>
      </c>
      <c r="G208" s="36">
        <v>5.7060185185185183E-3</v>
      </c>
      <c r="H208" s="36">
        <v>5.6597222222222222E-3</v>
      </c>
      <c r="I208" s="36">
        <v>1.2789351851851852E-2</v>
      </c>
    </row>
  </sheetData>
  <mergeCells count="3">
    <mergeCell ref="A70:H70"/>
    <mergeCell ref="B2:H2"/>
    <mergeCell ref="B141:H141"/>
  </mergeCells>
  <phoneticPr fontId="10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AB87-A2F8-4C79-9828-48D5DE8A87BB}">
  <dimension ref="A1:H65"/>
  <sheetViews>
    <sheetView topLeftCell="A5" zoomScale="60" zoomScaleNormal="60" workbookViewId="0">
      <selection activeCell="H21" sqref="H21"/>
    </sheetView>
  </sheetViews>
  <sheetFormatPr baseColWidth="10" defaultRowHeight="15" x14ac:dyDescent="0.25"/>
  <cols>
    <col min="1" max="1" width="30.85546875" customWidth="1"/>
    <col min="2" max="2" width="13.5703125" customWidth="1"/>
    <col min="5" max="5" width="15.28515625" customWidth="1"/>
    <col min="6" max="6" width="18.140625" style="80" customWidth="1"/>
  </cols>
  <sheetData>
    <row r="1" spans="1:6" x14ac:dyDescent="0.25">
      <c r="A1" s="65" t="s">
        <v>23</v>
      </c>
      <c r="B1" s="64" t="s">
        <v>202</v>
      </c>
      <c r="C1" s="64" t="s">
        <v>203</v>
      </c>
      <c r="D1" s="64" t="s">
        <v>204</v>
      </c>
      <c r="E1" s="64" t="s">
        <v>205</v>
      </c>
      <c r="F1" s="79" t="s">
        <v>201</v>
      </c>
    </row>
    <row r="2" spans="1:6" x14ac:dyDescent="0.25">
      <c r="A2" t="s">
        <v>27</v>
      </c>
      <c r="B2">
        <f>SUMIF(Tabla1[SucursalA], A2, Tabla1[EM])</f>
        <v>937</v>
      </c>
      <c r="C2">
        <f>SUMIF(Tabla1[SucursalA], A2, Tabla1[AT])</f>
        <v>929</v>
      </c>
      <c r="D2">
        <f>SUMIF(Tabla1[SucursalA], A2, Tabla1[CA])</f>
        <v>8</v>
      </c>
      <c r="E2">
        <f>SUMIF(Tabla1[SucursalA], A2, Tabla1[DE])</f>
        <v>398</v>
      </c>
      <c r="F2" s="80">
        <f>AVERAGEIF(Tabla1[SucursalA], A2, Tabla1[TE])</f>
        <v>6.4814814814814813E-3</v>
      </c>
    </row>
    <row r="3" spans="1:6" x14ac:dyDescent="0.25">
      <c r="A3" t="s">
        <v>158</v>
      </c>
      <c r="B3">
        <f>SUMIF(Tabla1[SucursalA], A3, Tabla1[EM])</f>
        <v>2036</v>
      </c>
      <c r="C3">
        <f>SUMIF(Tabla1[SucursalA], A3, Tabla1[AT])</f>
        <v>2021</v>
      </c>
      <c r="D3">
        <f>SUMIF(Tabla1[SucursalA], A3, Tabla1[CA])</f>
        <v>15</v>
      </c>
      <c r="E3">
        <f>SUMIF(Tabla1[SucursalA], A3, Tabla1[DE])</f>
        <v>857</v>
      </c>
      <c r="F3" s="80">
        <f>AVERAGEIF(Tabla1[SucursalA], A3, Tabla1[TE])</f>
        <v>4.1319444444444442E-3</v>
      </c>
    </row>
    <row r="4" spans="1:6" x14ac:dyDescent="0.25">
      <c r="A4" t="s">
        <v>227</v>
      </c>
      <c r="B4">
        <f>SUMIF(Tabla1[SucursalA], A4, Tabla1[EM])</f>
        <v>1800</v>
      </c>
      <c r="C4">
        <f>SUMIF(Tabla1[SucursalA], A4, Tabla1[AT])</f>
        <v>1786</v>
      </c>
      <c r="D4">
        <f>SUMIF(Tabla1[SucursalA], A4, Tabla1[CA])</f>
        <v>14</v>
      </c>
      <c r="E4">
        <f>SUMIF(Tabla1[SucursalA], A4, Tabla1[DE])</f>
        <v>778</v>
      </c>
      <c r="F4" s="80">
        <f>AVERAGEIF(Tabla1[SucursalA], A4, Tabla1[TE])</f>
        <v>4.1319444444444442E-3</v>
      </c>
    </row>
    <row r="5" spans="1:6" x14ac:dyDescent="0.25">
      <c r="A5" t="s">
        <v>207</v>
      </c>
      <c r="B5">
        <f>SUMIF(Tabla1[SucursalA], A5, Tabla1[EM])</f>
        <v>8849</v>
      </c>
      <c r="C5">
        <f>SUMIF(Tabla1[SucursalA], A5, Tabla1[AT])</f>
        <v>8777</v>
      </c>
      <c r="D5">
        <f>SUMIF(Tabla1[SucursalA], A5, Tabla1[CA])</f>
        <v>72</v>
      </c>
      <c r="E5">
        <f>SUMIF(Tabla1[SucursalA], A5, Tabla1[DE])</f>
        <v>3147</v>
      </c>
      <c r="F5" s="80">
        <f>AVERAGEIF(Tabla1[SucursalA], A5, Tabla1[TE])</f>
        <v>1.1493055555555555E-2</v>
      </c>
    </row>
    <row r="6" spans="1:6" x14ac:dyDescent="0.25">
      <c r="A6" t="s">
        <v>130</v>
      </c>
      <c r="B6">
        <f>SUMIF(Tabla1[SucursalA], A6, Tabla1[EM])</f>
        <v>6641</v>
      </c>
      <c r="C6">
        <f>SUMIF(Tabla1[SucursalA], A6, Tabla1[AT])</f>
        <v>6585</v>
      </c>
      <c r="D6">
        <f>SUMIF(Tabla1[SucursalA], A6, Tabla1[CA])</f>
        <v>56</v>
      </c>
      <c r="E6">
        <f>SUMIF(Tabla1[SucursalA], A6, Tabla1[DE])</f>
        <v>2860</v>
      </c>
      <c r="F6" s="80">
        <f>AVERAGEIF(Tabla1[SucursalA], A6, Tabla1[TE])</f>
        <v>6.0069444444444441E-3</v>
      </c>
    </row>
    <row r="7" spans="1:6" x14ac:dyDescent="0.25">
      <c r="A7" t="s">
        <v>217</v>
      </c>
      <c r="B7">
        <f>SUMIF(Tabla1[SucursalA], A7, Tabla1[EM])</f>
        <v>4564</v>
      </c>
      <c r="C7">
        <f>SUMIF(Tabla1[SucursalA], A7, Tabla1[AT])</f>
        <v>4516</v>
      </c>
      <c r="D7">
        <f>SUMIF(Tabla1[SucursalA], A7, Tabla1[CA])</f>
        <v>48</v>
      </c>
      <c r="E7">
        <f>SUMIF(Tabla1[SucursalA], A7, Tabla1[DE])</f>
        <v>1505</v>
      </c>
      <c r="F7" s="80">
        <f>AVERAGEIF(Tabla1[SucursalA], A7, Tabla1[TE])</f>
        <v>5.6828703703703702E-3</v>
      </c>
    </row>
    <row r="8" spans="1:6" x14ac:dyDescent="0.25">
      <c r="A8" t="s">
        <v>220</v>
      </c>
      <c r="B8">
        <f>SUMIF(Tabla1[SucursalA], A8, Tabla1[EM])</f>
        <v>3591</v>
      </c>
      <c r="C8">
        <f>SUMIF(Tabla1[SucursalA], A8, Tabla1[AT])</f>
        <v>3582</v>
      </c>
      <c r="D8">
        <f>SUMIF(Tabla1[SucursalA], A8, Tabla1[CA])</f>
        <v>9</v>
      </c>
      <c r="E8">
        <f>SUMIF(Tabla1[SucursalA], A8, Tabla1[DE])</f>
        <v>1299</v>
      </c>
      <c r="F8" s="80">
        <f>AVERAGEIF(Tabla1[SucursalA], A8, Tabla1[TE])</f>
        <v>1.1724537037037037E-2</v>
      </c>
    </row>
    <row r="9" spans="1:6" x14ac:dyDescent="0.25">
      <c r="A9" t="s">
        <v>139</v>
      </c>
      <c r="B9">
        <f>SUMIF(Tabla1[SucursalA], A9, Tabla1[EM])</f>
        <v>3132</v>
      </c>
      <c r="C9">
        <f>SUMIF(Tabla1[SucursalA], A9, Tabla1[AT])</f>
        <v>3104</v>
      </c>
      <c r="D9">
        <f>SUMIF(Tabla1[SucursalA], A9, Tabla1[CA])</f>
        <v>28</v>
      </c>
      <c r="E9">
        <f>SUMIF(Tabla1[SucursalA], A9, Tabla1[DE])</f>
        <v>1142</v>
      </c>
      <c r="F9" s="80">
        <f>AVERAGEIF(Tabla1[SucursalA], A9, Tabla1[TE])</f>
        <v>4.6759259259259263E-3</v>
      </c>
    </row>
    <row r="10" spans="1:6" x14ac:dyDescent="0.25">
      <c r="A10" t="s">
        <v>123</v>
      </c>
      <c r="B10">
        <f>SUMIF(Tabla1[SucursalA], A10, Tabla1[EM])</f>
        <v>10535</v>
      </c>
      <c r="C10">
        <f>SUMIF(Tabla1[SucursalA], A10, Tabla1[AT])</f>
        <v>10494</v>
      </c>
      <c r="D10">
        <f>SUMIF(Tabla1[SucursalA], A10, Tabla1[CA])</f>
        <v>41</v>
      </c>
      <c r="E10">
        <f>SUMIF(Tabla1[SucursalA], A10, Tabla1[DE])</f>
        <v>3839</v>
      </c>
      <c r="F10" s="80">
        <f>AVERAGEIF(Tabla1[SucursalA], A10, Tabla1[TE])</f>
        <v>6.2500000000000003E-3</v>
      </c>
    </row>
    <row r="11" spans="1:6" x14ac:dyDescent="0.25">
      <c r="A11" t="s">
        <v>230</v>
      </c>
      <c r="B11">
        <f>SUMIF(Tabla1[SucursalA], A11, Tabla1[EM])</f>
        <v>702</v>
      </c>
      <c r="C11">
        <f>SUMIF(Tabla1[SucursalA], A11, Tabla1[AT])</f>
        <v>697</v>
      </c>
      <c r="D11">
        <f>SUMIF(Tabla1[SucursalA], A11, Tabla1[CA])</f>
        <v>5</v>
      </c>
      <c r="E11">
        <f>SUMIF(Tabla1[SucursalA], A11, Tabla1[DE])</f>
        <v>263</v>
      </c>
      <c r="F11" s="80">
        <f>AVERAGEIF(Tabla1[SucursalA], A11, Tabla1[TE])</f>
        <v>3.8310185185185183E-3</v>
      </c>
    </row>
    <row r="12" spans="1:6" x14ac:dyDescent="0.25">
      <c r="A12" t="s">
        <v>106</v>
      </c>
      <c r="B12">
        <f>SUMIF(Tabla1[SucursalA], A12, Tabla1[EM])</f>
        <v>8916</v>
      </c>
      <c r="C12">
        <f>SUMIF(Tabla1[SucursalA], A12, Tabla1[AT])</f>
        <v>8558</v>
      </c>
      <c r="D12">
        <f>SUMIF(Tabla1[SucursalA], A12, Tabla1[CA])</f>
        <v>358</v>
      </c>
      <c r="E12">
        <f>SUMIF(Tabla1[SucursalA], A12, Tabla1[DE])</f>
        <v>3506</v>
      </c>
      <c r="F12" s="80">
        <f>AVERAGEIF(Tabla1[SucursalA], A12, Tabla1[TE])</f>
        <v>6.3541666666666668E-3</v>
      </c>
    </row>
    <row r="13" spans="1:6" x14ac:dyDescent="0.25">
      <c r="A13" t="s">
        <v>219</v>
      </c>
      <c r="B13">
        <f>SUMIF(Tabla1[SucursalA], A13, Tabla1[EM])</f>
        <v>3627</v>
      </c>
      <c r="C13">
        <f>SUMIF(Tabla1[SucursalA], A13, Tabla1[AT])</f>
        <v>3605</v>
      </c>
      <c r="D13">
        <f>SUMIF(Tabla1[SucursalA], A13, Tabla1[CA])</f>
        <v>22</v>
      </c>
      <c r="E13">
        <f>SUMIF(Tabla1[SucursalA], A13, Tabla1[DE])</f>
        <v>1346</v>
      </c>
      <c r="F13" s="80">
        <f>AVERAGEIF(Tabla1[SucursalA], A13, Tabla1[TE])</f>
        <v>6.9560185185185185E-3</v>
      </c>
    </row>
    <row r="14" spans="1:6" x14ac:dyDescent="0.25">
      <c r="A14" t="s">
        <v>113</v>
      </c>
      <c r="B14">
        <f>SUMIF(Tabla1[SucursalA], A14, Tabla1[EM])</f>
        <v>11324</v>
      </c>
      <c r="C14">
        <f>SUMIF(Tabla1[SucursalA], A14, Tabla1[AT])</f>
        <v>11215</v>
      </c>
      <c r="D14">
        <f>SUMIF(Tabla1[SucursalA], A14, Tabla1[CA])</f>
        <v>109</v>
      </c>
      <c r="E14">
        <f>SUMIF(Tabla1[SucursalA], A14, Tabla1[DE])</f>
        <v>4121</v>
      </c>
      <c r="F14" s="80">
        <f>AVERAGEIF(Tabla1[SucursalA], A14, Tabla1[TE])</f>
        <v>9.6412037037037039E-3</v>
      </c>
    </row>
    <row r="15" spans="1:6" x14ac:dyDescent="0.25">
      <c r="A15" t="s">
        <v>228</v>
      </c>
      <c r="B15">
        <f>SUMIF(Tabla1[SucursalA], A15, Tabla1[EM])</f>
        <v>1697</v>
      </c>
      <c r="C15">
        <f>SUMIF(Tabla1[SucursalA], A15, Tabla1[AT])</f>
        <v>1683</v>
      </c>
      <c r="D15">
        <f>SUMIF(Tabla1[SucursalA], A15, Tabla1[CA])</f>
        <v>14</v>
      </c>
      <c r="E15">
        <f>SUMIF(Tabla1[SucursalA], A15, Tabla1[DE])</f>
        <v>642</v>
      </c>
      <c r="F15" s="80">
        <f>AVERAGEIF(Tabla1[SucursalA], A15, Tabla1[TE])</f>
        <v>1.9097222222222222E-3</v>
      </c>
    </row>
    <row r="16" spans="1:6" x14ac:dyDescent="0.25">
      <c r="A16" t="s">
        <v>28</v>
      </c>
      <c r="B16">
        <f>SUMIF(Tabla1[SucursalA], A16, Tabla1[EM])</f>
        <v>840</v>
      </c>
      <c r="C16">
        <f>SUMIF(Tabla1[SucursalA], A16, Tabla1[AT])</f>
        <v>792</v>
      </c>
      <c r="D16">
        <f>SUMIF(Tabla1[SucursalA], A16, Tabla1[CA])</f>
        <v>48</v>
      </c>
      <c r="E16">
        <f>SUMIF(Tabla1[SucursalA], A16, Tabla1[DE])</f>
        <v>293</v>
      </c>
      <c r="F16" s="80">
        <f>AVERAGEIF(Tabla1[SucursalA], A16, Tabla1[TE])</f>
        <v>6.2384259259259259E-3</v>
      </c>
    </row>
    <row r="17" spans="1:8" x14ac:dyDescent="0.25">
      <c r="A17" t="s">
        <v>118</v>
      </c>
      <c r="B17">
        <f>SUMIF(Tabla1[SucursalA], A17, Tabla1[EM])</f>
        <v>8070</v>
      </c>
      <c r="C17">
        <f>SUMIF(Tabla1[SucursalA], A17, Tabla1[AT])</f>
        <v>7854</v>
      </c>
      <c r="D17">
        <f>SUMIF(Tabla1[SucursalA], A17, Tabla1[CA])</f>
        <v>216</v>
      </c>
      <c r="E17">
        <f>SUMIF(Tabla1[SucursalA], A17, Tabla1[DE])</f>
        <v>3094</v>
      </c>
      <c r="F17" s="80">
        <f>AVERAGEIF(Tabla1[SucursalA], A17, Tabla1[TE])</f>
        <v>4.6874999999999998E-3</v>
      </c>
    </row>
    <row r="18" spans="1:8" x14ac:dyDescent="0.25">
      <c r="A18" t="s">
        <v>221</v>
      </c>
      <c r="B18">
        <f>SUMIF(Tabla1[SucursalA], A18, Tabla1[EM])</f>
        <v>3353</v>
      </c>
      <c r="C18">
        <f>SUMIF(Tabla1[SucursalA], A18, Tabla1[AT])</f>
        <v>3341</v>
      </c>
      <c r="D18">
        <f>SUMIF(Tabla1[SucursalA], A18, Tabla1[CA])</f>
        <v>12</v>
      </c>
      <c r="E18">
        <f>SUMIF(Tabla1[SucursalA], A18, Tabla1[DE])</f>
        <v>1375</v>
      </c>
      <c r="F18" s="80">
        <f>AVERAGEIF(Tabla1[SucursalA], A18, Tabla1[TE])</f>
        <v>3.9930555555555552E-3</v>
      </c>
    </row>
    <row r="19" spans="1:8" x14ac:dyDescent="0.25">
      <c r="A19" t="s">
        <v>29</v>
      </c>
      <c r="B19">
        <f>SUMIF(Tabla1[SucursalA], A19, Tabla1[EM])</f>
        <v>1000</v>
      </c>
      <c r="C19">
        <f>SUMIF(Tabla1[SucursalA], A19, Tabla1[AT])</f>
        <v>989</v>
      </c>
      <c r="D19">
        <f>SUMIF(Tabla1[SucursalA], A19, Tabla1[CA])</f>
        <v>11</v>
      </c>
      <c r="E19">
        <f>SUMIF(Tabla1[SucursalA], A19, Tabla1[DE])</f>
        <v>326</v>
      </c>
      <c r="F19" s="80">
        <f>AVERAGEIF(Tabla1[SucursalA], A19, Tabla1[TE])</f>
        <v>1.275462962962963E-2</v>
      </c>
      <c r="H19" t="s">
        <v>233</v>
      </c>
    </row>
    <row r="20" spans="1:8" x14ac:dyDescent="0.25">
      <c r="A20" t="s">
        <v>119</v>
      </c>
      <c r="B20">
        <f>SUMIF(Tabla1[SucursalA], A20, Tabla1[EM])</f>
        <v>10764</v>
      </c>
      <c r="C20">
        <f>SUMIF(Tabla1[SucursalA], A20, Tabla1[AT])</f>
        <v>10333</v>
      </c>
      <c r="D20">
        <f>SUMIF(Tabla1[SucursalA], A20, Tabla1[CA])</f>
        <v>431</v>
      </c>
      <c r="E20">
        <f>SUMIF(Tabla1[SucursalA], A20, Tabla1[DE])</f>
        <v>3612</v>
      </c>
      <c r="F20" s="80">
        <f>AVERAGEIF(Tabla1[SucursalA], A20, Tabla1[TE])</f>
        <v>9.4212962962962957E-3</v>
      </c>
    </row>
    <row r="21" spans="1:8" x14ac:dyDescent="0.25">
      <c r="A21" t="s">
        <v>222</v>
      </c>
      <c r="B21">
        <f>SUMIF(Tabla1[SucursalA], A21, Tabla1[EM])</f>
        <v>3170</v>
      </c>
      <c r="C21">
        <f>SUMIF(Tabla1[SucursalA], A21, Tabla1[AT])</f>
        <v>3125</v>
      </c>
      <c r="D21">
        <f>SUMIF(Tabla1[SucursalA], A21, Tabla1[CA])</f>
        <v>45</v>
      </c>
      <c r="E21">
        <f>SUMIF(Tabla1[SucursalA], A21, Tabla1[DE])</f>
        <v>1285</v>
      </c>
      <c r="F21" s="80">
        <f>AVERAGEIF(Tabla1[SucursalA], A21, Tabla1[TE])</f>
        <v>3.8657407407407408E-3</v>
      </c>
    </row>
    <row r="22" spans="1:8" x14ac:dyDescent="0.25">
      <c r="A22" t="s">
        <v>30</v>
      </c>
      <c r="B22">
        <f>SUMIF(Tabla1[SucursalA], A22, Tabla1[EM])</f>
        <v>4374</v>
      </c>
      <c r="C22">
        <f>SUMIF(Tabla1[SucursalA], A22, Tabla1[AT])</f>
        <v>4350</v>
      </c>
      <c r="D22">
        <f>SUMIF(Tabla1[SucursalA], A22, Tabla1[CA])</f>
        <v>24</v>
      </c>
      <c r="E22">
        <f>SUMIF(Tabla1[SucursalA], A22, Tabla1[DE])</f>
        <v>1788</v>
      </c>
      <c r="F22" s="80">
        <f>AVERAGEIF(Tabla1[SucursalA], A22, Tabla1[TE])</f>
        <v>5.7754629629629631E-3</v>
      </c>
    </row>
    <row r="23" spans="1:8" x14ac:dyDescent="0.25">
      <c r="A23" t="s">
        <v>157</v>
      </c>
      <c r="B23">
        <f>SUMIF(Tabla1[SucursalA], A23, Tabla1[EM])</f>
        <v>3093</v>
      </c>
      <c r="C23">
        <f>SUMIF(Tabla1[SucursalA], A23, Tabla1[AT])</f>
        <v>3052</v>
      </c>
      <c r="D23">
        <f>SUMIF(Tabla1[SucursalA], A23, Tabla1[CA])</f>
        <v>41</v>
      </c>
      <c r="E23">
        <f>SUMIF(Tabla1[SucursalA], A23, Tabla1[DE])</f>
        <v>1182</v>
      </c>
      <c r="F23" s="80">
        <f>AVERAGEIF(Tabla1[SucursalA], A23, Tabla1[TE])</f>
        <v>9.6064814814814815E-3</v>
      </c>
    </row>
    <row r="24" spans="1:8" x14ac:dyDescent="0.25">
      <c r="A24" t="s">
        <v>215</v>
      </c>
      <c r="B24">
        <f>SUMIF(Tabla1[SucursalA], A24, Tabla1[EM])</f>
        <v>5007</v>
      </c>
      <c r="C24">
        <f>SUMIF(Tabla1[SucursalA], A24, Tabla1[AT])</f>
        <v>4994</v>
      </c>
      <c r="D24">
        <f>SUMIF(Tabla1[SucursalA], A24, Tabla1[CA])</f>
        <v>13</v>
      </c>
      <c r="E24">
        <f>SUMIF(Tabla1[SucursalA], A24, Tabla1[DE])</f>
        <v>1756</v>
      </c>
      <c r="F24" s="80">
        <f>AVERAGEIF(Tabla1[SucursalA], A24, Tabla1[TE])</f>
        <v>1.0393518518518519E-2</v>
      </c>
    </row>
    <row r="25" spans="1:8" x14ac:dyDescent="0.25">
      <c r="A25" t="s">
        <v>31</v>
      </c>
      <c r="B25">
        <f>SUMIF(Tabla1[SucursalA], A25, Tabla1[EM])</f>
        <v>1387</v>
      </c>
      <c r="C25">
        <f>SUMIF(Tabla1[SucursalA], A25, Tabla1[AT])</f>
        <v>1386</v>
      </c>
      <c r="D25">
        <f>SUMIF(Tabla1[SucursalA], A25, Tabla1[CA])</f>
        <v>1</v>
      </c>
      <c r="E25">
        <f>SUMIF(Tabla1[SucursalA], A25, Tabla1[DE])</f>
        <v>526</v>
      </c>
      <c r="F25" s="80">
        <f>AVERAGEIF(Tabla1[SucursalA], A25, Tabla1[TE])</f>
        <v>1.724537037037037E-3</v>
      </c>
    </row>
    <row r="26" spans="1:8" x14ac:dyDescent="0.25">
      <c r="A26" t="s">
        <v>218</v>
      </c>
      <c r="B26">
        <f>SUMIF(Tabla1[SucursalA], A26, Tabla1[EM])</f>
        <v>4333</v>
      </c>
      <c r="C26">
        <f>SUMIF(Tabla1[SucursalA], A26, Tabla1[AT])</f>
        <v>4294</v>
      </c>
      <c r="D26">
        <f>SUMIF(Tabla1[SucursalA], A26, Tabla1[CA])</f>
        <v>39</v>
      </c>
      <c r="E26">
        <f>SUMIF(Tabla1[SucursalA], A26, Tabla1[DE])</f>
        <v>1883</v>
      </c>
      <c r="F26" s="80">
        <f>AVERAGEIF(Tabla1[SucursalA], A26, Tabla1[TE])</f>
        <v>3.8541666666666668E-3</v>
      </c>
    </row>
    <row r="27" spans="1:8" x14ac:dyDescent="0.25">
      <c r="A27" t="s">
        <v>224</v>
      </c>
      <c r="B27">
        <f>SUMIF(Tabla1[SucursalA], A27, Tabla1[EM])</f>
        <v>2675</v>
      </c>
      <c r="C27">
        <f>SUMIF(Tabla1[SucursalA], A27, Tabla1[AT])</f>
        <v>2627</v>
      </c>
      <c r="D27">
        <f>SUMIF(Tabla1[SucursalA], A27, Tabla1[CA])</f>
        <v>48</v>
      </c>
      <c r="E27">
        <f>SUMIF(Tabla1[SucursalA], A27, Tabla1[DE])</f>
        <v>1131</v>
      </c>
      <c r="F27" s="80">
        <f>AVERAGEIF(Tabla1[SucursalA], A27, Tabla1[TE])</f>
        <v>6.851851851851852E-3</v>
      </c>
    </row>
    <row r="28" spans="1:8" x14ac:dyDescent="0.25">
      <c r="A28" t="s">
        <v>211</v>
      </c>
      <c r="B28">
        <f>SUMIF(Tabla1[SucursalA], A28, Tabla1[EM])</f>
        <v>7069</v>
      </c>
      <c r="C28">
        <f>SUMIF(Tabla1[SucursalA], A28, Tabla1[AT])</f>
        <v>6888</v>
      </c>
      <c r="D28">
        <f>SUMIF(Tabla1[SucursalA], A28, Tabla1[CA])</f>
        <v>181</v>
      </c>
      <c r="E28">
        <f>SUMIF(Tabla1[SucursalA], A28, Tabla1[DE])</f>
        <v>2469</v>
      </c>
      <c r="F28" s="80">
        <f>AVERAGEIF(Tabla1[SucursalA], A28, Tabla1[TE])</f>
        <v>4.2939814814814811E-3</v>
      </c>
    </row>
    <row r="29" spans="1:8" x14ac:dyDescent="0.25">
      <c r="A29" t="s">
        <v>32</v>
      </c>
      <c r="B29">
        <f>SUMIF(Tabla1[SucursalA], A29, Tabla1[EM])</f>
        <v>4777</v>
      </c>
      <c r="C29">
        <f>SUMIF(Tabla1[SucursalA], A29, Tabla1[AT])</f>
        <v>4546</v>
      </c>
      <c r="D29">
        <f>SUMIF(Tabla1[SucursalA], A29, Tabla1[CA])</f>
        <v>231</v>
      </c>
      <c r="E29">
        <f>SUMIF(Tabla1[SucursalA], A29, Tabla1[DE])</f>
        <v>1794</v>
      </c>
      <c r="F29" s="80">
        <f>AVERAGEIF(Tabla1[SucursalA], A29, Tabla1[TE])</f>
        <v>4.8726851851851848E-3</v>
      </c>
    </row>
    <row r="30" spans="1:8" x14ac:dyDescent="0.25">
      <c r="A30" t="s">
        <v>125</v>
      </c>
      <c r="B30">
        <f>SUMIF(Tabla1[SucursalA], A30, Tabla1[EM])</f>
        <v>6720</v>
      </c>
      <c r="C30">
        <f>SUMIF(Tabla1[SucursalA], A30, Tabla1[AT])</f>
        <v>6684</v>
      </c>
      <c r="D30">
        <f>SUMIF(Tabla1[SucursalA], A30, Tabla1[CA])</f>
        <v>36</v>
      </c>
      <c r="E30">
        <f>SUMIF(Tabla1[SucursalA], A30, Tabla1[DE])</f>
        <v>2284</v>
      </c>
      <c r="F30" s="80">
        <f>AVERAGEIF(Tabla1[SucursalA], A30, Tabla1[TE])</f>
        <v>7.4305555555555557E-3</v>
      </c>
    </row>
    <row r="31" spans="1:8" x14ac:dyDescent="0.25">
      <c r="A31" t="s">
        <v>33</v>
      </c>
      <c r="B31">
        <f>SUMIF(Tabla1[SucursalA], A31, Tabla1[EM])</f>
        <v>12273</v>
      </c>
      <c r="C31">
        <f>SUMIF(Tabla1[SucursalA], A31, Tabla1[AT])</f>
        <v>11997</v>
      </c>
      <c r="D31">
        <f>SUMIF(Tabla1[SucursalA], A31, Tabla1[CA])</f>
        <v>276</v>
      </c>
      <c r="E31">
        <f>SUMIF(Tabla1[SucursalA], A31, Tabla1[DE])</f>
        <v>4446</v>
      </c>
      <c r="F31" s="80">
        <f>AVERAGEIF(Tabla1[SucursalA], A31, Tabla1[TE])</f>
        <v>7.8935185185185185E-3</v>
      </c>
    </row>
    <row r="32" spans="1:8" x14ac:dyDescent="0.25">
      <c r="A32" t="s">
        <v>112</v>
      </c>
      <c r="B32">
        <f>SUMIF(Tabla1[SucursalA], A32, Tabla1[EM])</f>
        <v>12650</v>
      </c>
      <c r="C32">
        <f>SUMIF(Tabla1[SucursalA], A32, Tabla1[AT])</f>
        <v>12542</v>
      </c>
      <c r="D32">
        <f>SUMIF(Tabla1[SucursalA], A32, Tabla1[CA])</f>
        <v>108</v>
      </c>
      <c r="E32">
        <f>SUMIF(Tabla1[SucursalA], A32, Tabla1[DE])</f>
        <v>4602</v>
      </c>
      <c r="F32" s="80">
        <f>AVERAGEIF(Tabla1[SucursalA], A32, Tabla1[TE])</f>
        <v>1.0925925925925926E-2</v>
      </c>
    </row>
    <row r="33" spans="1:6" x14ac:dyDescent="0.25">
      <c r="A33" t="s">
        <v>129</v>
      </c>
      <c r="B33">
        <f>SUMIF(Tabla1[SucursalA], A33, Tabla1[EM])</f>
        <v>7002</v>
      </c>
      <c r="C33">
        <f>SUMIF(Tabla1[SucursalA], A33, Tabla1[AT])</f>
        <v>6886</v>
      </c>
      <c r="D33">
        <f>SUMIF(Tabla1[SucursalA], A33, Tabla1[CA])</f>
        <v>116</v>
      </c>
      <c r="E33">
        <f>SUMIF(Tabla1[SucursalA], A33, Tabla1[DE])</f>
        <v>2759</v>
      </c>
      <c r="F33" s="80">
        <f>AVERAGEIF(Tabla1[SucursalA], A33, Tabla1[TE])</f>
        <v>5.7291666666666663E-3</v>
      </c>
    </row>
    <row r="34" spans="1:6" x14ac:dyDescent="0.25">
      <c r="A34" t="s">
        <v>117</v>
      </c>
      <c r="B34">
        <f>SUMIF(Tabla1[SucursalA], A34, Tabla1[EM])</f>
        <v>5440</v>
      </c>
      <c r="C34">
        <f>SUMIF(Tabla1[SucursalA], A34, Tabla1[AT])</f>
        <v>5379</v>
      </c>
      <c r="D34">
        <f>SUMIF(Tabla1[SucursalA], A34, Tabla1[CA])</f>
        <v>61</v>
      </c>
      <c r="E34">
        <f>SUMIF(Tabla1[SucursalA], A34, Tabla1[DE])</f>
        <v>2116</v>
      </c>
      <c r="F34" s="80">
        <f>AVERAGEIF(Tabla1[SucursalA], A34, Tabla1[TE])</f>
        <v>4.5486111111111109E-3</v>
      </c>
    </row>
    <row r="35" spans="1:6" x14ac:dyDescent="0.25">
      <c r="A35" t="s">
        <v>135</v>
      </c>
      <c r="B35">
        <f>SUMIF(Tabla1[SucursalA], A35, Tabla1[EM])</f>
        <v>4780</v>
      </c>
      <c r="C35">
        <f>SUMIF(Tabla1[SucursalA], A35, Tabla1[AT])</f>
        <v>4634</v>
      </c>
      <c r="D35">
        <f>SUMIF(Tabla1[SucursalA], A35, Tabla1[CA])</f>
        <v>146</v>
      </c>
      <c r="E35">
        <f>SUMIF(Tabla1[SucursalA], A35, Tabla1[DE])</f>
        <v>1800</v>
      </c>
      <c r="F35" s="80">
        <f>AVERAGEIF(Tabla1[SucursalA], A35, Tabla1[TE])</f>
        <v>9.0046296296296298E-3</v>
      </c>
    </row>
    <row r="36" spans="1:6" x14ac:dyDescent="0.25">
      <c r="A36" t="s">
        <v>209</v>
      </c>
      <c r="B36">
        <f>SUMIF(Tabla1[SucursalA], A36, Tabla1[EM])</f>
        <v>8418</v>
      </c>
      <c r="C36">
        <f>SUMIF(Tabla1[SucursalA], A36, Tabla1[AT])</f>
        <v>8373</v>
      </c>
      <c r="D36">
        <f>SUMIF(Tabla1[SucursalA], A36, Tabla1[CA])</f>
        <v>45</v>
      </c>
      <c r="E36">
        <f>SUMIF(Tabla1[SucursalA], A36, Tabla1[DE])</f>
        <v>2950</v>
      </c>
      <c r="F36" s="80">
        <f>AVERAGEIF(Tabla1[SucursalA], A36, Tabla1[TE])</f>
        <v>8.067129629629629E-3</v>
      </c>
    </row>
    <row r="37" spans="1:6" x14ac:dyDescent="0.25">
      <c r="A37" t="s">
        <v>223</v>
      </c>
      <c r="B37">
        <f>SUMIF(Tabla1[SucursalA], A37, Tabla1[EM])</f>
        <v>2794</v>
      </c>
      <c r="C37">
        <f>SUMIF(Tabla1[SucursalA], A37, Tabla1[AT])</f>
        <v>2785</v>
      </c>
      <c r="D37">
        <f>SUMIF(Tabla1[SucursalA], A37, Tabla1[CA])</f>
        <v>9</v>
      </c>
      <c r="E37">
        <f>SUMIF(Tabla1[SucursalA], A37, Tabla1[DE])</f>
        <v>784</v>
      </c>
      <c r="F37" s="80">
        <f>AVERAGEIF(Tabla1[SucursalA], A37, Tabla1[TE])</f>
        <v>2.9513888888888888E-3</v>
      </c>
    </row>
    <row r="38" spans="1:6" x14ac:dyDescent="0.25">
      <c r="A38" t="s">
        <v>109</v>
      </c>
      <c r="B38">
        <f>SUMIF(Tabla1[SucursalA], A38, Tabla1[EM])</f>
        <v>11922</v>
      </c>
      <c r="C38">
        <f>SUMIF(Tabla1[SucursalA], A38, Tabla1[AT])</f>
        <v>11801</v>
      </c>
      <c r="D38">
        <f>SUMIF(Tabla1[SucursalA], A38, Tabla1[CA])</f>
        <v>121</v>
      </c>
      <c r="E38">
        <f>SUMIF(Tabla1[SucursalA], A38, Tabla1[DE])</f>
        <v>4078</v>
      </c>
      <c r="F38" s="80">
        <f>AVERAGEIF(Tabla1[SucursalA], A38, Tabla1[TE])</f>
        <v>1.019675925925926E-2</v>
      </c>
    </row>
    <row r="39" spans="1:6" x14ac:dyDescent="0.25">
      <c r="A39" t="s">
        <v>166</v>
      </c>
      <c r="B39">
        <f>SUMIF(Tabla1[SucursalA], A39, Tabla1[EM])</f>
        <v>1902</v>
      </c>
      <c r="C39">
        <f>SUMIF(Tabla1[SucursalA], A39, Tabla1[AT])</f>
        <v>1808</v>
      </c>
      <c r="D39">
        <f>SUMIF(Tabla1[SucursalA], A39, Tabla1[CA])</f>
        <v>94</v>
      </c>
      <c r="E39">
        <f>SUMIF(Tabla1[SucursalA], A39, Tabla1[DE])</f>
        <v>645</v>
      </c>
      <c r="F39" s="80">
        <f>AVERAGEIF(Tabla1[SucursalA], A39, Tabla1[TE])</f>
        <v>5.6944444444444447E-3</v>
      </c>
    </row>
    <row r="40" spans="1:6" x14ac:dyDescent="0.25">
      <c r="A40" t="s">
        <v>124</v>
      </c>
      <c r="B40">
        <f>SUMIF(Tabla1[SucursalA], A40, Tabla1[EM])</f>
        <v>5438</v>
      </c>
      <c r="C40">
        <f>SUMIF(Tabla1[SucursalA], A40, Tabla1[AT])</f>
        <v>5380</v>
      </c>
      <c r="D40">
        <f>SUMIF(Tabla1[SucursalA], A40, Tabla1[CA])</f>
        <v>58</v>
      </c>
      <c r="E40">
        <f>SUMIF(Tabla1[SucursalA], A40, Tabla1[DE])</f>
        <v>2264</v>
      </c>
      <c r="F40" s="80">
        <f>AVERAGEIF(Tabla1[SucursalA], A40, Tabla1[TE])</f>
        <v>4.8263888888888887E-3</v>
      </c>
    </row>
    <row r="41" spans="1:6" x14ac:dyDescent="0.25">
      <c r="A41" t="s">
        <v>133</v>
      </c>
      <c r="B41">
        <f>SUMIF(Tabla1[SucursalA], A41, Tabla1[EM])</f>
        <v>4783</v>
      </c>
      <c r="C41">
        <f>SUMIF(Tabla1[SucursalA], A41, Tabla1[AT])</f>
        <v>4714</v>
      </c>
      <c r="D41">
        <f>SUMIF(Tabla1[SucursalA], A41, Tabla1[CA])</f>
        <v>69</v>
      </c>
      <c r="E41">
        <f>SUMIF(Tabla1[SucursalA], A41, Tabla1[DE])</f>
        <v>1681</v>
      </c>
      <c r="F41" s="80">
        <f>AVERAGEIF(Tabla1[SucursalA], A41, Tabla1[TE])</f>
        <v>5.1967592592592595E-3</v>
      </c>
    </row>
    <row r="42" spans="1:6" x14ac:dyDescent="0.25">
      <c r="A42" t="s">
        <v>140</v>
      </c>
      <c r="B42">
        <f>SUMIF(Tabla1[SucursalA], A42, Tabla1[EM])</f>
        <v>2960</v>
      </c>
      <c r="C42">
        <f>SUMIF(Tabla1[SucursalA], A42, Tabla1[AT])</f>
        <v>2856</v>
      </c>
      <c r="D42">
        <f>SUMIF(Tabla1[SucursalA], A42, Tabla1[CA])</f>
        <v>104</v>
      </c>
      <c r="E42">
        <f>SUMIF(Tabla1[SucursalA], A42, Tabla1[DE])</f>
        <v>1170</v>
      </c>
      <c r="F42" s="80">
        <f>AVERAGEIF(Tabla1[SucursalA], A42, Tabla1[TE])</f>
        <v>5.6134259259259262E-3</v>
      </c>
    </row>
    <row r="43" spans="1:6" x14ac:dyDescent="0.25">
      <c r="A43" t="s">
        <v>151</v>
      </c>
      <c r="B43">
        <f>SUMIF(Tabla1[SucursalA], A43, Tabla1[EM])</f>
        <v>3042</v>
      </c>
      <c r="C43">
        <f>SUMIF(Tabla1[SucursalA], A43, Tabla1[AT])</f>
        <v>3028</v>
      </c>
      <c r="D43">
        <f>SUMIF(Tabla1[SucursalA], A43, Tabla1[CA])</f>
        <v>14</v>
      </c>
      <c r="E43">
        <f>SUMIF(Tabla1[SucursalA], A43, Tabla1[DE])</f>
        <v>1088</v>
      </c>
      <c r="F43" s="80">
        <f>AVERAGEIF(Tabla1[SucursalA], A43, Tabla1[TE])</f>
        <v>1.7824074074074075E-3</v>
      </c>
    </row>
    <row r="44" spans="1:6" x14ac:dyDescent="0.25">
      <c r="A44" t="s">
        <v>208</v>
      </c>
      <c r="B44">
        <f>SUMIF(Tabla1[SucursalA], A44, Tabla1[EM])</f>
        <v>8588</v>
      </c>
      <c r="C44">
        <f>SUMIF(Tabla1[SucursalA], A44, Tabla1[AT])</f>
        <v>8528</v>
      </c>
      <c r="D44">
        <f>SUMIF(Tabla1[SucursalA], A44, Tabla1[CA])</f>
        <v>60</v>
      </c>
      <c r="E44">
        <f>SUMIF(Tabla1[SucursalA], A44, Tabla1[DE])</f>
        <v>3207</v>
      </c>
      <c r="F44" s="80">
        <f>AVERAGEIF(Tabla1[SucursalA], A44, Tabla1[TE])</f>
        <v>1.1435185185185185E-2</v>
      </c>
    </row>
    <row r="45" spans="1:6" x14ac:dyDescent="0.25">
      <c r="A45" t="s">
        <v>108</v>
      </c>
      <c r="B45">
        <f>SUMIF(Tabla1[SucursalA], A45, Tabla1[EM])</f>
        <v>9636</v>
      </c>
      <c r="C45">
        <f>SUMIF(Tabla1[SucursalA], A45, Tabla1[AT])</f>
        <v>9566</v>
      </c>
      <c r="D45">
        <f>SUMIF(Tabla1[SucursalA], A45, Tabla1[CA])</f>
        <v>70</v>
      </c>
      <c r="E45">
        <f>SUMIF(Tabla1[SucursalA], A45, Tabla1[DE])</f>
        <v>3825</v>
      </c>
      <c r="F45" s="80">
        <f>AVERAGEIF(Tabla1[SucursalA], A45, Tabla1[TE])</f>
        <v>8.0902777777777778E-3</v>
      </c>
    </row>
    <row r="46" spans="1:6" x14ac:dyDescent="0.25">
      <c r="A46" t="s">
        <v>116</v>
      </c>
      <c r="B46">
        <f>SUMIF(Tabla1[SucursalA], A46, Tabla1[EM])</f>
        <v>4283</v>
      </c>
      <c r="C46">
        <f>SUMIF(Tabla1[SucursalA], A46, Tabla1[AT])</f>
        <v>4237</v>
      </c>
      <c r="D46">
        <f>SUMIF(Tabla1[SucursalA], A46, Tabla1[CA])</f>
        <v>46</v>
      </c>
      <c r="E46">
        <f>SUMIF(Tabla1[SucursalA], A46, Tabla1[DE])</f>
        <v>1844</v>
      </c>
      <c r="F46" s="80">
        <f>AVERAGEIF(Tabla1[SucursalA], A46, Tabla1[TE])</f>
        <v>3.1828703703703702E-3</v>
      </c>
    </row>
    <row r="47" spans="1:6" x14ac:dyDescent="0.25">
      <c r="A47" t="s">
        <v>34</v>
      </c>
      <c r="B47">
        <f>SUMIF(Tabla1[SucursalA], A47, Tabla1[EM])</f>
        <v>1383</v>
      </c>
      <c r="C47">
        <f>SUMIF(Tabla1[SucursalA], A47, Tabla1[AT])</f>
        <v>1332</v>
      </c>
      <c r="D47">
        <f>SUMIF(Tabla1[SucursalA], A47, Tabla1[CA])</f>
        <v>51</v>
      </c>
      <c r="E47">
        <f>SUMIF(Tabla1[SucursalA], A47, Tabla1[DE])</f>
        <v>467</v>
      </c>
      <c r="F47" s="80">
        <f>AVERAGEIF(Tabla1[SucursalA], A47, Tabla1[TE])</f>
        <v>1.0578703703703703E-2</v>
      </c>
    </row>
    <row r="48" spans="1:6" x14ac:dyDescent="0.25">
      <c r="A48" t="s">
        <v>229</v>
      </c>
      <c r="B48">
        <f>SUMIF(Tabla1[SucursalA], A48, Tabla1[EM])</f>
        <v>1425</v>
      </c>
      <c r="C48">
        <f>SUMIF(Tabla1[SucursalA], A48, Tabla1[AT])</f>
        <v>1381</v>
      </c>
      <c r="D48">
        <f>SUMIF(Tabla1[SucursalA], A48, Tabla1[CA])</f>
        <v>44</v>
      </c>
      <c r="E48">
        <f>SUMIF(Tabla1[SucursalA], A48, Tabla1[DE])</f>
        <v>565</v>
      </c>
      <c r="F48" s="80">
        <f>AVERAGEIF(Tabla1[SucursalA], A48, Tabla1[TE])</f>
        <v>2.5347222222222221E-3</v>
      </c>
    </row>
    <row r="49" spans="1:6" x14ac:dyDescent="0.25">
      <c r="A49" t="s">
        <v>210</v>
      </c>
      <c r="B49">
        <f>SUMIF(Tabla1[SucursalA], A49, Tabla1[EM])</f>
        <v>7774</v>
      </c>
      <c r="C49">
        <f>SUMIF(Tabla1[SucursalA], A49, Tabla1[AT])</f>
        <v>7701</v>
      </c>
      <c r="D49">
        <f>SUMIF(Tabla1[SucursalA], A49, Tabla1[CA])</f>
        <v>73</v>
      </c>
      <c r="E49">
        <f>SUMIF(Tabla1[SucursalA], A49, Tabla1[DE])</f>
        <v>2798</v>
      </c>
      <c r="F49" s="80">
        <f>AVERAGEIF(Tabla1[SucursalA], A49, Tabla1[TE])</f>
        <v>1.4340277777777778E-2</v>
      </c>
    </row>
    <row r="50" spans="1:6" x14ac:dyDescent="0.25">
      <c r="A50" t="s">
        <v>142</v>
      </c>
      <c r="B50">
        <f>SUMIF(Tabla1[SucursalA], A50, Tabla1[EM])</f>
        <v>5355</v>
      </c>
      <c r="C50">
        <f>SUMIF(Tabla1[SucursalA], A50, Tabla1[AT])</f>
        <v>5329</v>
      </c>
      <c r="D50">
        <f>SUMIF(Tabla1[SucursalA], A50, Tabla1[CA])</f>
        <v>26</v>
      </c>
      <c r="E50">
        <f>SUMIF(Tabla1[SucursalA], A50, Tabla1[DE])</f>
        <v>1927</v>
      </c>
      <c r="F50" s="80">
        <f>AVERAGEIF(Tabla1[SucursalA], A50, Tabla1[TE])</f>
        <v>4.8495370370370368E-3</v>
      </c>
    </row>
    <row r="51" spans="1:6" x14ac:dyDescent="0.25">
      <c r="A51" t="s">
        <v>122</v>
      </c>
      <c r="B51">
        <f>SUMIF(Tabla1[SucursalA], A51, Tabla1[EM])</f>
        <v>8846</v>
      </c>
      <c r="C51">
        <f>SUMIF(Tabla1[SucursalA], A51, Tabla1[AT])</f>
        <v>8621</v>
      </c>
      <c r="D51">
        <f>SUMIF(Tabla1[SucursalA], A51, Tabla1[CA])</f>
        <v>225</v>
      </c>
      <c r="E51">
        <f>SUMIF(Tabla1[SucursalA], A51, Tabla1[DE])</f>
        <v>2681</v>
      </c>
      <c r="F51" s="80">
        <f>AVERAGEIF(Tabla1[SucursalA], A51, Tabla1[TE])</f>
        <v>8.4606481481481477E-3</v>
      </c>
    </row>
    <row r="52" spans="1:6" x14ac:dyDescent="0.25">
      <c r="A52" t="s">
        <v>225</v>
      </c>
      <c r="B52">
        <f>SUMIF(Tabla1[SucursalA], A52, Tabla1[EM])</f>
        <v>2474</v>
      </c>
      <c r="C52">
        <f>SUMIF(Tabla1[SucursalA], A52, Tabla1[AT])</f>
        <v>2428</v>
      </c>
      <c r="D52">
        <f>SUMIF(Tabla1[SucursalA], A52, Tabla1[CA])</f>
        <v>46</v>
      </c>
      <c r="E52">
        <f>SUMIF(Tabla1[SucursalA], A52, Tabla1[DE])</f>
        <v>1118</v>
      </c>
      <c r="F52" s="80">
        <f>AVERAGEIF(Tabla1[SucursalA], A52, Tabla1[TE])</f>
        <v>7.4189814814814813E-3</v>
      </c>
    </row>
    <row r="53" spans="1:6" x14ac:dyDescent="0.25">
      <c r="A53" t="s">
        <v>35</v>
      </c>
      <c r="B53">
        <f>SUMIF(Tabla1[SucursalA], A53, Tabla1[EM])</f>
        <v>3972</v>
      </c>
      <c r="C53">
        <f>SUMIF(Tabla1[SucursalA], A53, Tabla1[AT])</f>
        <v>3893</v>
      </c>
      <c r="D53">
        <f>SUMIF(Tabla1[SucursalA], A53, Tabla1[CA])</f>
        <v>79</v>
      </c>
      <c r="E53">
        <f>SUMIF(Tabla1[SucursalA], A53, Tabla1[DE])</f>
        <v>1520</v>
      </c>
      <c r="F53" s="80">
        <f>AVERAGEIF(Tabla1[SucursalA], A53, Tabla1[TE])</f>
        <v>4.8958333333333336E-3</v>
      </c>
    </row>
    <row r="54" spans="1:6" x14ac:dyDescent="0.25">
      <c r="A54" t="s">
        <v>36</v>
      </c>
      <c r="B54">
        <f>SUMIF(Tabla1[SucursalA], A54, Tabla1[EM])</f>
        <v>2416</v>
      </c>
      <c r="C54">
        <f>SUMIF(Tabla1[SucursalA], A54, Tabla1[AT])</f>
        <v>2379</v>
      </c>
      <c r="D54">
        <f>SUMIF(Tabla1[SucursalA], A54, Tabla1[CA])</f>
        <v>37</v>
      </c>
      <c r="E54">
        <f>SUMIF(Tabla1[SucursalA], A54, Tabla1[DE])</f>
        <v>990</v>
      </c>
      <c r="F54" s="80">
        <f>AVERAGEIF(Tabla1[SucursalA], A54, Tabla1[TE])</f>
        <v>5.5671296296296293E-3</v>
      </c>
    </row>
    <row r="55" spans="1:6" x14ac:dyDescent="0.25">
      <c r="A55" t="s">
        <v>213</v>
      </c>
      <c r="B55">
        <f>SUMIF(Tabla1[SucursalA], A55, Tabla1[EM])</f>
        <v>5855</v>
      </c>
      <c r="C55">
        <f>SUMIF(Tabla1[SucursalA], A55, Tabla1[AT])</f>
        <v>5686</v>
      </c>
      <c r="D55">
        <f>SUMIF(Tabla1[SucursalA], A55, Tabla1[CA])</f>
        <v>169</v>
      </c>
      <c r="E55">
        <f>SUMIF(Tabla1[SucursalA], A55, Tabla1[DE])</f>
        <v>2062</v>
      </c>
      <c r="F55" s="80">
        <f>AVERAGEIF(Tabla1[SucursalA], A55, Tabla1[TE])</f>
        <v>5.9490740740740745E-3</v>
      </c>
    </row>
    <row r="56" spans="1:6" x14ac:dyDescent="0.25">
      <c r="A56" t="s">
        <v>226</v>
      </c>
      <c r="B56">
        <f>SUMIF(Tabla1[SucursalA], A56, Tabla1[EM])</f>
        <v>1883</v>
      </c>
      <c r="C56">
        <f>SUMIF(Tabla1[SucursalA], A56, Tabla1[AT])</f>
        <v>1818</v>
      </c>
      <c r="D56">
        <f>SUMIF(Tabla1[SucursalA], A56, Tabla1[CA])</f>
        <v>65</v>
      </c>
      <c r="E56">
        <f>SUMIF(Tabla1[SucursalA], A56, Tabla1[DE])</f>
        <v>831</v>
      </c>
      <c r="F56" s="80">
        <f>AVERAGEIF(Tabla1[SucursalA], A56, Tabla1[TE])</f>
        <v>4.9768518518518521E-3</v>
      </c>
    </row>
    <row r="57" spans="1:6" x14ac:dyDescent="0.25">
      <c r="A57" t="s">
        <v>206</v>
      </c>
      <c r="B57">
        <f>SUMIF(Tabla1[SucursalA], A57, Tabla1[EM])</f>
        <v>12846</v>
      </c>
      <c r="C57">
        <f>SUMIF(Tabla1[SucursalA], A57, Tabla1[AT])</f>
        <v>12505</v>
      </c>
      <c r="D57">
        <f>SUMIF(Tabla1[SucursalA], A57, Tabla1[CA])</f>
        <v>341</v>
      </c>
      <c r="E57">
        <f>SUMIF(Tabla1[SucursalA], A57, Tabla1[DE])</f>
        <v>4149</v>
      </c>
      <c r="F57" s="80">
        <f>AVERAGEIF(Tabla1[SucursalA], A57, Tabla1[TE])</f>
        <v>1.6354166666666666E-2</v>
      </c>
    </row>
    <row r="58" spans="1:6" x14ac:dyDescent="0.25">
      <c r="A58" t="s">
        <v>212</v>
      </c>
      <c r="B58">
        <f>SUMIF(Tabla1[SucursalA], A58, Tabla1[EM])</f>
        <v>6525</v>
      </c>
      <c r="C58">
        <f>SUMIF(Tabla1[SucursalA], A58, Tabla1[AT])</f>
        <v>6313</v>
      </c>
      <c r="D58">
        <f>SUMIF(Tabla1[SucursalA], A58, Tabla1[CA])</f>
        <v>212</v>
      </c>
      <c r="E58">
        <f>SUMIF(Tabla1[SucursalA], A58, Tabla1[DE])</f>
        <v>2190</v>
      </c>
      <c r="F58" s="80">
        <f>AVERAGEIF(Tabla1[SucursalA], A58, Tabla1[TE])</f>
        <v>9.2476851851851852E-3</v>
      </c>
    </row>
    <row r="59" spans="1:6" x14ac:dyDescent="0.25">
      <c r="A59" t="s">
        <v>214</v>
      </c>
      <c r="B59">
        <f>SUMIF(Tabla1[SucursalA], A59, Tabla1[EM])</f>
        <v>5760</v>
      </c>
      <c r="C59">
        <f>SUMIF(Tabla1[SucursalA], A59, Tabla1[AT])</f>
        <v>5641</v>
      </c>
      <c r="D59">
        <f>SUMIF(Tabla1[SucursalA], A59, Tabla1[CA])</f>
        <v>119</v>
      </c>
      <c r="E59">
        <f>SUMIF(Tabla1[SucursalA], A59, Tabla1[DE])</f>
        <v>2157</v>
      </c>
      <c r="F59" s="80">
        <f>AVERAGEIF(Tabla1[SucursalA], A59, Tabla1[TE])</f>
        <v>7.4537037037037037E-3</v>
      </c>
    </row>
    <row r="60" spans="1:6" x14ac:dyDescent="0.25">
      <c r="A60" t="s">
        <v>216</v>
      </c>
      <c r="B60">
        <f>SUMIF(Tabla1[SucursalA], A60, Tabla1[EM])</f>
        <v>4951</v>
      </c>
      <c r="C60">
        <f>SUMIF(Tabla1[SucursalA], A60, Tabla1[AT])</f>
        <v>4869</v>
      </c>
      <c r="D60">
        <f>SUMIF(Tabla1[SucursalA], A60, Tabla1[CA])</f>
        <v>82</v>
      </c>
      <c r="E60">
        <f>SUMIF(Tabla1[SucursalA], A60, Tabla1[DE])</f>
        <v>1667</v>
      </c>
      <c r="F60" s="80">
        <f>AVERAGEIF(Tabla1[SucursalA], A60, Tabla1[TE])</f>
        <v>8.773148148148148E-3</v>
      </c>
    </row>
    <row r="61" spans="1:6" x14ac:dyDescent="0.25">
      <c r="A61" t="s">
        <v>231</v>
      </c>
      <c r="B61">
        <f>SUMIF(Tabla1[SucursalA], A61, Tabla1[EM])</f>
        <v>467</v>
      </c>
      <c r="C61">
        <f>SUMIF(Tabla1[SucursalA], A61, Tabla1[AT])</f>
        <v>465</v>
      </c>
      <c r="D61">
        <f>SUMIF(Tabla1[SucursalA], A61, Tabla1[CA])</f>
        <v>2</v>
      </c>
      <c r="E61">
        <f>SUMIF(Tabla1[SucursalA], A61, Tabla1[DE])</f>
        <v>190</v>
      </c>
      <c r="F61" s="80">
        <f>AVERAGEIF(Tabla1[SucursalA], A61, Tabla1[TE])</f>
        <v>8.0787037037037043E-3</v>
      </c>
    </row>
    <row r="62" spans="1:6" x14ac:dyDescent="0.25">
      <c r="A62" t="s">
        <v>176</v>
      </c>
      <c r="B62">
        <f>SUMIF(Tabla1[SucursalA], A62, Tabla1[EM])</f>
        <v>101</v>
      </c>
      <c r="C62">
        <f>SUMIF(Tabla1[SucursalA], A62, Tabla1[AT])</f>
        <v>91</v>
      </c>
      <c r="D62">
        <f>SUMIF(Tabla1[SucursalA], A62, Tabla1[CA])</f>
        <v>10</v>
      </c>
      <c r="E62">
        <f>SUMIF(Tabla1[SucursalA], A62, Tabla1[DE])</f>
        <v>34</v>
      </c>
      <c r="F62" s="80">
        <f>AVERAGEIF(Tabla1[SucursalA], A62, Tabla1[TE])</f>
        <v>2.0613425925925927E-2</v>
      </c>
    </row>
    <row r="63" spans="1:6" x14ac:dyDescent="0.25">
      <c r="A63" t="s">
        <v>90</v>
      </c>
      <c r="B63">
        <f>SUMIF(Tabla1[SucursalA], A63, Tabla1[EM])</f>
        <v>739</v>
      </c>
      <c r="C63">
        <f>SUMIF(Tabla1[SucursalA], A63, Tabla1[AT])</f>
        <v>736</v>
      </c>
      <c r="D63">
        <f>SUMIF(Tabla1[SucursalA], A63, Tabla1[CA])</f>
        <v>3</v>
      </c>
      <c r="E63">
        <f>SUMIF(Tabla1[SucursalA], A63, Tabla1[DE])</f>
        <v>322</v>
      </c>
      <c r="F63" s="80">
        <f>AVERAGEIF(Tabla1[SucursalA], A63, Tabla1[TE])</f>
        <v>6.7592592592592591E-3</v>
      </c>
    </row>
    <row r="64" spans="1:6" x14ac:dyDescent="0.25">
      <c r="A64" t="s">
        <v>232</v>
      </c>
      <c r="B64">
        <f>SUMIF(Tabla1[SucursalA], A64, Tabla1[EM])</f>
        <v>411</v>
      </c>
      <c r="C64">
        <f>SUMIF(Tabla1[SucursalA], A64, Tabla1[AT])</f>
        <v>404</v>
      </c>
      <c r="D64">
        <f>SUMIF(Tabla1[SucursalA], A64, Tabla1[CA])</f>
        <v>7</v>
      </c>
      <c r="E64">
        <f>SUMIF(Tabla1[SucursalA], A64, Tabla1[DE])</f>
        <v>192</v>
      </c>
      <c r="F64" s="80">
        <f>AVERAGEIF(Tabla1[SucursalA], A64, Tabla1[TE])</f>
        <v>4.4791666666666669E-3</v>
      </c>
    </row>
    <row r="65" spans="1:6" x14ac:dyDescent="0.25">
      <c r="A65" t="s">
        <v>114</v>
      </c>
      <c r="B65">
        <f>SUMIF(Tabla1[SucursalA], A65, Tabla1[EM])</f>
        <v>10132</v>
      </c>
      <c r="C65">
        <f>SUMIF(Tabla1[SucursalA], A65, Tabla1[AT])</f>
        <v>9993</v>
      </c>
      <c r="D65">
        <f>SUMIF(Tabla1[SucursalA], A65, Tabla1[CA])</f>
        <v>139</v>
      </c>
      <c r="E65">
        <f>SUMIF(Tabla1[SucursalA], A65, Tabla1[DE])</f>
        <v>3668</v>
      </c>
      <c r="F65" s="80">
        <f>AVERAGEIF(Tabla1[SucursalA], A65, Tabla1[TE])</f>
        <v>7.9166666666666673E-3</v>
      </c>
    </row>
  </sheetData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4CBC-60D2-4384-871E-438BD8BF8631}">
  <dimension ref="A1:C11"/>
  <sheetViews>
    <sheetView topLeftCell="A15" zoomScale="80" zoomScaleNormal="80" workbookViewId="0">
      <selection activeCell="C16" sqref="C16"/>
    </sheetView>
  </sheetViews>
  <sheetFormatPr baseColWidth="10" defaultRowHeight="15" x14ac:dyDescent="0.25"/>
  <cols>
    <col min="1" max="1" width="21.7109375" bestFit="1" customWidth="1"/>
    <col min="2" max="2" width="12.140625" customWidth="1"/>
    <col min="3" max="3" width="18" bestFit="1" customWidth="1"/>
  </cols>
  <sheetData>
    <row r="1" spans="1:3" ht="15.75" x14ac:dyDescent="0.25">
      <c r="A1" s="67" t="s">
        <v>23</v>
      </c>
      <c r="B1" s="68" t="s">
        <v>203</v>
      </c>
      <c r="C1" s="68" t="s">
        <v>201</v>
      </c>
    </row>
    <row r="2" spans="1:3" x14ac:dyDescent="0.25">
      <c r="A2" s="66" t="s">
        <v>112</v>
      </c>
      <c r="B2" s="66">
        <v>12542</v>
      </c>
      <c r="C2" s="81">
        <v>1.0925925925925926E-2</v>
      </c>
    </row>
    <row r="3" spans="1:3" x14ac:dyDescent="0.25">
      <c r="A3" s="22" t="s">
        <v>206</v>
      </c>
      <c r="B3" s="22">
        <v>12505</v>
      </c>
      <c r="C3" s="43">
        <v>1.6354166666666666E-2</v>
      </c>
    </row>
    <row r="4" spans="1:3" x14ac:dyDescent="0.25">
      <c r="A4" s="66" t="s">
        <v>33</v>
      </c>
      <c r="B4" s="66">
        <v>11997</v>
      </c>
      <c r="C4" s="81">
        <v>7.8935185185185185E-3</v>
      </c>
    </row>
    <row r="5" spans="1:3" x14ac:dyDescent="0.25">
      <c r="A5" s="22" t="s">
        <v>109</v>
      </c>
      <c r="B5" s="22">
        <v>11801</v>
      </c>
      <c r="C5" s="43">
        <v>1.019675925925926E-2</v>
      </c>
    </row>
    <row r="6" spans="1:3" x14ac:dyDescent="0.25">
      <c r="A6" s="66" t="s">
        <v>113</v>
      </c>
      <c r="B6" s="66">
        <v>11215</v>
      </c>
      <c r="C6" s="81">
        <v>9.6412037037037039E-3</v>
      </c>
    </row>
    <row r="7" spans="1:3" x14ac:dyDescent="0.25">
      <c r="A7" s="22" t="s">
        <v>123</v>
      </c>
      <c r="B7" s="22">
        <v>10494</v>
      </c>
      <c r="C7" s="43">
        <v>6.2500000000000003E-3</v>
      </c>
    </row>
    <row r="8" spans="1:3" x14ac:dyDescent="0.25">
      <c r="A8" s="66" t="s">
        <v>119</v>
      </c>
      <c r="B8" s="66">
        <v>10333</v>
      </c>
      <c r="C8" s="81">
        <v>9.4212962962962957E-3</v>
      </c>
    </row>
    <row r="9" spans="1:3" x14ac:dyDescent="0.25">
      <c r="A9" s="22" t="s">
        <v>114</v>
      </c>
      <c r="B9" s="22">
        <v>9993</v>
      </c>
      <c r="C9" s="43">
        <v>7.9166666666666673E-3</v>
      </c>
    </row>
    <row r="10" spans="1:3" x14ac:dyDescent="0.25">
      <c r="A10" s="66" t="s">
        <v>108</v>
      </c>
      <c r="B10" s="66">
        <v>9566</v>
      </c>
      <c r="C10" s="81">
        <v>8.0902777777777778E-3</v>
      </c>
    </row>
    <row r="11" spans="1:3" x14ac:dyDescent="0.25">
      <c r="A11" s="22" t="s">
        <v>207</v>
      </c>
      <c r="B11" s="22">
        <v>8777</v>
      </c>
      <c r="C11" s="43">
        <v>1.1493055555555555E-2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C8C8-83FD-420C-B2AA-08EC6CAD5401}">
  <dimension ref="A1:G79"/>
  <sheetViews>
    <sheetView topLeftCell="A46" zoomScale="80" zoomScaleNormal="80" workbookViewId="0">
      <selection activeCell="F73" sqref="A2:G79"/>
    </sheetView>
  </sheetViews>
  <sheetFormatPr baseColWidth="10" defaultRowHeight="15" x14ac:dyDescent="0.25"/>
  <cols>
    <col min="1" max="1" width="33" bestFit="1" customWidth="1"/>
    <col min="2" max="2" width="25.42578125" bestFit="1" customWidth="1"/>
    <col min="3" max="3" width="33.28515625" bestFit="1" customWidth="1"/>
    <col min="4" max="4" width="32.140625" customWidth="1"/>
    <col min="5" max="5" width="27.85546875" customWidth="1"/>
    <col min="6" max="6" width="29.85546875" bestFit="1" customWidth="1"/>
    <col min="7" max="7" width="26.5703125" customWidth="1"/>
    <col min="8" max="8" width="19.7109375" customWidth="1"/>
    <col min="9" max="9" width="16.28515625" customWidth="1"/>
  </cols>
  <sheetData>
    <row r="1" spans="1:7" x14ac:dyDescent="0.25">
      <c r="A1" s="37" t="s">
        <v>23</v>
      </c>
      <c r="B1" s="38" t="s">
        <v>99</v>
      </c>
      <c r="C1" s="38" t="s">
        <v>100</v>
      </c>
      <c r="D1" s="38" t="s">
        <v>101</v>
      </c>
      <c r="E1" s="38" t="s">
        <v>102</v>
      </c>
      <c r="F1" s="38" t="s">
        <v>103</v>
      </c>
      <c r="G1" s="39" t="s">
        <v>104</v>
      </c>
    </row>
    <row r="2" spans="1:7" x14ac:dyDescent="0.25">
      <c r="A2" s="40" t="s">
        <v>105</v>
      </c>
      <c r="B2" s="41">
        <v>5309</v>
      </c>
      <c r="C2" s="41">
        <v>15186</v>
      </c>
      <c r="D2" s="42">
        <v>17179409.199999996</v>
      </c>
      <c r="E2" s="42">
        <v>3235.9030325861736</v>
      </c>
      <c r="F2" s="43">
        <v>-3.3191083705420003E-2</v>
      </c>
      <c r="G2" s="44">
        <v>4512</v>
      </c>
    </row>
    <row r="3" spans="1:7" x14ac:dyDescent="0.25">
      <c r="A3" s="40" t="s">
        <v>106</v>
      </c>
      <c r="B3" s="41">
        <v>3965</v>
      </c>
      <c r="C3" s="41">
        <v>4409</v>
      </c>
      <c r="D3" s="42">
        <v>11674511.219999997</v>
      </c>
      <c r="E3" s="42">
        <v>2944.391228247162</v>
      </c>
      <c r="F3" s="43">
        <v>-1.9021093340733389E-2</v>
      </c>
      <c r="G3" s="44">
        <v>3391</v>
      </c>
    </row>
    <row r="4" spans="1:7" x14ac:dyDescent="0.25">
      <c r="A4" s="40" t="s">
        <v>107</v>
      </c>
      <c r="B4" s="41">
        <v>4970</v>
      </c>
      <c r="C4" s="41">
        <v>5457</v>
      </c>
      <c r="D4" s="42">
        <v>11562258.639999997</v>
      </c>
      <c r="E4" s="42">
        <v>2326.4101891348082</v>
      </c>
      <c r="F4" s="43">
        <v>1.6420256607582062E-2</v>
      </c>
      <c r="G4" s="44">
        <v>4171</v>
      </c>
    </row>
    <row r="5" spans="1:7" x14ac:dyDescent="0.25">
      <c r="A5" s="40" t="s">
        <v>108</v>
      </c>
      <c r="B5" s="41">
        <v>3933</v>
      </c>
      <c r="C5" s="41">
        <v>4589</v>
      </c>
      <c r="D5" s="42">
        <v>11195172.919999998</v>
      </c>
      <c r="E5" s="42">
        <v>2846.4716297991349</v>
      </c>
      <c r="F5" s="43">
        <v>2.1446341174490187E-2</v>
      </c>
      <c r="G5" s="44">
        <v>3286</v>
      </c>
    </row>
    <row r="6" spans="1:7" x14ac:dyDescent="0.25">
      <c r="A6" s="40" t="s">
        <v>109</v>
      </c>
      <c r="B6" s="41">
        <v>4564</v>
      </c>
      <c r="C6" s="41">
        <v>4798</v>
      </c>
      <c r="D6" s="42">
        <v>11038057.929999998</v>
      </c>
      <c r="E6" s="42">
        <v>2418.5052432077123</v>
      </c>
      <c r="F6" s="43">
        <v>-5.3502305984594961E-2</v>
      </c>
      <c r="G6" s="44">
        <v>3943</v>
      </c>
    </row>
    <row r="7" spans="1:7" x14ac:dyDescent="0.25">
      <c r="A7" s="40" t="s">
        <v>110</v>
      </c>
      <c r="B7" s="41">
        <v>2939</v>
      </c>
      <c r="C7" s="41">
        <v>12</v>
      </c>
      <c r="D7" s="42">
        <v>10974073.899999999</v>
      </c>
      <c r="E7" s="42">
        <v>3733.9482477032998</v>
      </c>
      <c r="F7" s="43">
        <v>-6.0974346030157528E-2</v>
      </c>
      <c r="G7" s="44">
        <v>2435</v>
      </c>
    </row>
    <row r="8" spans="1:7" x14ac:dyDescent="0.25">
      <c r="A8" s="40" t="s">
        <v>111</v>
      </c>
      <c r="B8" s="41">
        <v>3366</v>
      </c>
      <c r="C8" s="41">
        <v>3777</v>
      </c>
      <c r="D8" s="42">
        <v>10548837.320000004</v>
      </c>
      <c r="E8" s="42">
        <v>3133.9385977421284</v>
      </c>
      <c r="F8" s="43">
        <v>-0.14382313758171714</v>
      </c>
      <c r="G8" s="44">
        <v>2759</v>
      </c>
    </row>
    <row r="9" spans="1:7" x14ac:dyDescent="0.25">
      <c r="A9" s="40" t="s">
        <v>112</v>
      </c>
      <c r="B9" s="41">
        <v>4518</v>
      </c>
      <c r="C9" s="41">
        <v>5118</v>
      </c>
      <c r="D9" s="42">
        <v>10388125.699999996</v>
      </c>
      <c r="E9" s="42">
        <v>2299.2752766710923</v>
      </c>
      <c r="F9" s="43">
        <v>-2.6230146370956789E-2</v>
      </c>
      <c r="G9" s="44">
        <v>3756</v>
      </c>
    </row>
    <row r="10" spans="1:7" x14ac:dyDescent="0.25">
      <c r="A10" s="40" t="s">
        <v>113</v>
      </c>
      <c r="B10" s="41">
        <v>4219</v>
      </c>
      <c r="C10" s="41">
        <v>4763</v>
      </c>
      <c r="D10" s="42">
        <v>10171970.790000001</v>
      </c>
      <c r="E10" s="42">
        <v>2410.9909433515054</v>
      </c>
      <c r="F10" s="43">
        <v>-7.7371524100223743E-2</v>
      </c>
      <c r="G10" s="44">
        <v>3655</v>
      </c>
    </row>
    <row r="11" spans="1:7" x14ac:dyDescent="0.25">
      <c r="A11" s="40" t="s">
        <v>114</v>
      </c>
      <c r="B11" s="41">
        <v>4112</v>
      </c>
      <c r="C11" s="41">
        <v>4898</v>
      </c>
      <c r="D11" s="42">
        <v>10150216.069999998</v>
      </c>
      <c r="E11" s="42">
        <v>2468.4377602140075</v>
      </c>
      <c r="F11" s="43">
        <v>-3.7506110289181105E-2</v>
      </c>
      <c r="G11" s="44">
        <v>3533</v>
      </c>
    </row>
    <row r="12" spans="1:7" x14ac:dyDescent="0.25">
      <c r="A12" s="40" t="s">
        <v>115</v>
      </c>
      <c r="B12" s="41">
        <v>2736</v>
      </c>
      <c r="C12" s="41">
        <v>5</v>
      </c>
      <c r="D12" s="42">
        <v>9419453.8713019993</v>
      </c>
      <c r="E12" s="42">
        <v>3442.782847698099</v>
      </c>
      <c r="F12" s="43">
        <v>-0.27763154369374882</v>
      </c>
      <c r="G12" s="44">
        <v>2397</v>
      </c>
    </row>
    <row r="13" spans="1:7" x14ac:dyDescent="0.25">
      <c r="A13" s="40" t="s">
        <v>116</v>
      </c>
      <c r="B13" s="41">
        <v>2285</v>
      </c>
      <c r="C13" s="41">
        <v>2714</v>
      </c>
      <c r="D13" s="42">
        <v>8997092.2199999988</v>
      </c>
      <c r="E13" s="42">
        <v>3937.458301969365</v>
      </c>
      <c r="F13" s="43">
        <v>-5.6226065595166956E-2</v>
      </c>
      <c r="G13" s="44">
        <v>1837</v>
      </c>
    </row>
    <row r="14" spans="1:7" x14ac:dyDescent="0.25">
      <c r="A14" s="40" t="s">
        <v>117</v>
      </c>
      <c r="B14" s="41">
        <v>2608</v>
      </c>
      <c r="C14" s="41">
        <v>3055</v>
      </c>
      <c r="D14" s="42">
        <v>8827337.1300000008</v>
      </c>
      <c r="E14" s="42">
        <v>3384.7151572085891</v>
      </c>
      <c r="F14" s="43">
        <v>-8.4013872140642515E-2</v>
      </c>
      <c r="G14" s="44">
        <v>2104</v>
      </c>
    </row>
    <row r="15" spans="1:7" x14ac:dyDescent="0.25">
      <c r="A15" s="40" t="s">
        <v>118</v>
      </c>
      <c r="B15" s="41">
        <v>3236</v>
      </c>
      <c r="C15" s="41">
        <v>3519</v>
      </c>
      <c r="D15" s="42">
        <v>8702787.7199999969</v>
      </c>
      <c r="E15" s="42">
        <v>2689.3657972805922</v>
      </c>
      <c r="F15" s="43">
        <v>0.1441383774562274</v>
      </c>
      <c r="G15" s="44">
        <v>2694</v>
      </c>
    </row>
    <row r="16" spans="1:7" x14ac:dyDescent="0.25">
      <c r="A16" s="40" t="s">
        <v>119</v>
      </c>
      <c r="B16" s="41">
        <v>3932</v>
      </c>
      <c r="C16" s="41">
        <v>4345</v>
      </c>
      <c r="D16" s="42">
        <v>8684957.0999999996</v>
      </c>
      <c r="E16" s="42">
        <v>2208.7886826042727</v>
      </c>
      <c r="F16" s="43">
        <v>-1.1195654267682518E-2</v>
      </c>
      <c r="G16" s="44">
        <v>3394</v>
      </c>
    </row>
    <row r="17" spans="1:7" x14ac:dyDescent="0.25">
      <c r="A17" s="40" t="s">
        <v>120</v>
      </c>
      <c r="B17" s="41">
        <v>3218</v>
      </c>
      <c r="C17" s="41">
        <v>3610</v>
      </c>
      <c r="D17" s="42">
        <v>8651958.910000002</v>
      </c>
      <c r="E17" s="42">
        <v>2688.6137072715978</v>
      </c>
      <c r="F17" s="43">
        <v>-2.8214939548789123E-2</v>
      </c>
      <c r="G17" s="44">
        <v>2639</v>
      </c>
    </row>
    <row r="18" spans="1:7" x14ac:dyDescent="0.25">
      <c r="A18" s="40" t="s">
        <v>121</v>
      </c>
      <c r="B18" s="41">
        <v>3231</v>
      </c>
      <c r="C18" s="41">
        <v>3568</v>
      </c>
      <c r="D18" s="42">
        <v>8215997.2899999991</v>
      </c>
      <c r="E18" s="42">
        <v>2542.8651470133082</v>
      </c>
      <c r="F18" s="43">
        <v>2.8621391792049984E-2</v>
      </c>
      <c r="G18" s="44">
        <v>2814</v>
      </c>
    </row>
    <row r="19" spans="1:7" x14ac:dyDescent="0.25">
      <c r="A19" s="40" t="s">
        <v>122</v>
      </c>
      <c r="B19" s="41">
        <v>3062</v>
      </c>
      <c r="C19" s="41">
        <v>3347</v>
      </c>
      <c r="D19" s="42">
        <v>8004287.3500000006</v>
      </c>
      <c r="E19" s="42">
        <v>2614.0716361854998</v>
      </c>
      <c r="F19" s="43">
        <v>3.161447702425213E-2</v>
      </c>
      <c r="G19" s="44">
        <v>2578</v>
      </c>
    </row>
    <row r="20" spans="1:7" x14ac:dyDescent="0.25">
      <c r="A20" s="40" t="s">
        <v>123</v>
      </c>
      <c r="B20" s="41">
        <v>3563</v>
      </c>
      <c r="C20" s="41">
        <v>3721</v>
      </c>
      <c r="D20" s="42">
        <v>7835949.8000000007</v>
      </c>
      <c r="E20" s="42">
        <v>2199.2561886051085</v>
      </c>
      <c r="F20" s="43">
        <v>0.11771188313216881</v>
      </c>
      <c r="G20" s="44">
        <v>3068</v>
      </c>
    </row>
    <row r="21" spans="1:7" x14ac:dyDescent="0.25">
      <c r="A21" s="40" t="s">
        <v>124</v>
      </c>
      <c r="B21" s="41">
        <v>2106</v>
      </c>
      <c r="C21" s="41">
        <v>2383</v>
      </c>
      <c r="D21" s="42">
        <v>7804771.4800000014</v>
      </c>
      <c r="E21" s="42">
        <v>3705.9693637226978</v>
      </c>
      <c r="F21" s="43">
        <v>1.7301070573787797E-2</v>
      </c>
      <c r="G21" s="44">
        <v>1711</v>
      </c>
    </row>
    <row r="22" spans="1:7" x14ac:dyDescent="0.25">
      <c r="A22" s="40" t="s">
        <v>125</v>
      </c>
      <c r="B22" s="41">
        <v>2647</v>
      </c>
      <c r="C22" s="41">
        <v>3011</v>
      </c>
      <c r="D22" s="42">
        <v>7447054.5900000017</v>
      </c>
      <c r="E22" s="42">
        <v>2813.394253872309</v>
      </c>
      <c r="F22" s="43">
        <v>7.0407949421081639E-2</v>
      </c>
      <c r="G22" s="44">
        <v>2185</v>
      </c>
    </row>
    <row r="23" spans="1:7" x14ac:dyDescent="0.25">
      <c r="A23" s="40" t="s">
        <v>126</v>
      </c>
      <c r="B23" s="41">
        <v>2721</v>
      </c>
      <c r="C23" s="41">
        <v>3304</v>
      </c>
      <c r="D23" s="42">
        <v>7186207.4100000001</v>
      </c>
      <c r="E23" s="42">
        <v>2641.0170562293274</v>
      </c>
      <c r="F23" s="43">
        <v>0.12791198678079532</v>
      </c>
      <c r="G23" s="44">
        <v>2407</v>
      </c>
    </row>
    <row r="24" spans="1:7" x14ac:dyDescent="0.25">
      <c r="A24" s="40" t="s">
        <v>127</v>
      </c>
      <c r="B24" s="41">
        <v>3072</v>
      </c>
      <c r="C24" s="41">
        <v>3208</v>
      </c>
      <c r="D24" s="42">
        <v>7119328.9899999993</v>
      </c>
      <c r="E24" s="42">
        <v>2317.4899055989581</v>
      </c>
      <c r="F24" s="43">
        <v>4.0302511632780189E-2</v>
      </c>
      <c r="G24" s="44">
        <v>2734</v>
      </c>
    </row>
    <row r="25" spans="1:7" x14ac:dyDescent="0.25">
      <c r="A25" s="40" t="s">
        <v>128</v>
      </c>
      <c r="B25" s="41">
        <v>2452</v>
      </c>
      <c r="C25" s="41">
        <v>2610</v>
      </c>
      <c r="D25" s="42">
        <v>7069350.3800000018</v>
      </c>
      <c r="E25" s="42">
        <v>2883.095587275694</v>
      </c>
      <c r="F25" s="43">
        <v>0.13030448744648127</v>
      </c>
      <c r="G25" s="44">
        <v>2144</v>
      </c>
    </row>
    <row r="26" spans="1:7" x14ac:dyDescent="0.25">
      <c r="A26" s="40" t="s">
        <v>129</v>
      </c>
      <c r="B26" s="41">
        <v>3019</v>
      </c>
      <c r="C26" s="41">
        <v>3273</v>
      </c>
      <c r="D26" s="42">
        <v>6957268.5000000009</v>
      </c>
      <c r="E26" s="42">
        <v>2304.4943689963566</v>
      </c>
      <c r="F26" s="43">
        <v>-3.8712376260730368E-2</v>
      </c>
      <c r="G26" s="44">
        <v>2567</v>
      </c>
    </row>
    <row r="27" spans="1:7" x14ac:dyDescent="0.25">
      <c r="A27" s="40" t="s">
        <v>130</v>
      </c>
      <c r="B27" s="41">
        <v>3046</v>
      </c>
      <c r="C27" s="41">
        <v>3187</v>
      </c>
      <c r="D27" s="42">
        <v>6918480.0000000009</v>
      </c>
      <c r="E27" s="42">
        <v>2271.3328956007881</v>
      </c>
      <c r="F27" s="43">
        <v>0.12104053232367665</v>
      </c>
      <c r="G27" s="44">
        <v>2622</v>
      </c>
    </row>
    <row r="28" spans="1:7" x14ac:dyDescent="0.25">
      <c r="A28" s="40" t="s">
        <v>131</v>
      </c>
      <c r="B28" s="41">
        <v>2311</v>
      </c>
      <c r="C28" s="41">
        <v>2452</v>
      </c>
      <c r="D28" s="42">
        <v>6686228.7000000002</v>
      </c>
      <c r="E28" s="42">
        <v>2893.2188230203378</v>
      </c>
      <c r="F28" s="43">
        <v>-4.0592328722904976E-2</v>
      </c>
      <c r="G28" s="44">
        <v>1978</v>
      </c>
    </row>
    <row r="29" spans="1:7" x14ac:dyDescent="0.25">
      <c r="A29" s="40" t="s">
        <v>132</v>
      </c>
      <c r="B29" s="41">
        <v>2502</v>
      </c>
      <c r="C29" s="41">
        <v>4477</v>
      </c>
      <c r="D29" s="42">
        <v>6572507.4200000009</v>
      </c>
      <c r="E29" s="42">
        <v>2626.9014468425262</v>
      </c>
      <c r="F29" s="43">
        <v>1.3518691813245812E-2</v>
      </c>
      <c r="G29" s="44">
        <v>1972</v>
      </c>
    </row>
    <row r="30" spans="1:7" x14ac:dyDescent="0.25">
      <c r="A30" s="40" t="s">
        <v>133</v>
      </c>
      <c r="B30" s="41">
        <v>2159</v>
      </c>
      <c r="C30" s="41">
        <v>2353</v>
      </c>
      <c r="D30" s="42">
        <v>6479929.1400000006</v>
      </c>
      <c r="E30" s="42">
        <v>3001.3567114404818</v>
      </c>
      <c r="F30" s="43">
        <v>-0.21445381533019045</v>
      </c>
      <c r="G30" s="44">
        <v>1743</v>
      </c>
    </row>
    <row r="31" spans="1:7" x14ac:dyDescent="0.25">
      <c r="A31" s="40" t="s">
        <v>134</v>
      </c>
      <c r="B31" s="41">
        <v>2430</v>
      </c>
      <c r="C31" s="41">
        <v>2484</v>
      </c>
      <c r="D31" s="42">
        <v>6054991.3800000008</v>
      </c>
      <c r="E31" s="42">
        <v>2491.7660000000005</v>
      </c>
      <c r="F31" s="43">
        <v>1.6532922693891203E-2</v>
      </c>
      <c r="G31" s="44">
        <v>2141</v>
      </c>
    </row>
    <row r="32" spans="1:7" x14ac:dyDescent="0.25">
      <c r="A32" s="40" t="s">
        <v>135</v>
      </c>
      <c r="B32" s="41">
        <v>1895</v>
      </c>
      <c r="C32" s="41">
        <v>1997</v>
      </c>
      <c r="D32" s="42">
        <v>5933303.4300000016</v>
      </c>
      <c r="E32" s="42">
        <v>3131.030833773088</v>
      </c>
      <c r="F32" s="43">
        <v>-5.0676744842156785E-2</v>
      </c>
      <c r="G32" s="44">
        <v>1589</v>
      </c>
    </row>
    <row r="33" spans="1:7" x14ac:dyDescent="0.25">
      <c r="A33" s="40" t="s">
        <v>136</v>
      </c>
      <c r="B33" s="41">
        <v>1733</v>
      </c>
      <c r="C33" s="41">
        <v>1941</v>
      </c>
      <c r="D33" s="42">
        <v>5909821.9000000013</v>
      </c>
      <c r="E33" s="42">
        <v>3410.1684362377387</v>
      </c>
      <c r="F33" s="43">
        <v>0.15764202812510703</v>
      </c>
      <c r="G33" s="44">
        <v>1526</v>
      </c>
    </row>
    <row r="34" spans="1:7" x14ac:dyDescent="0.25">
      <c r="A34" s="40" t="s">
        <v>137</v>
      </c>
      <c r="B34" s="41">
        <v>2061</v>
      </c>
      <c r="C34" s="41">
        <v>2288</v>
      </c>
      <c r="D34" s="42">
        <v>5533590.8500000006</v>
      </c>
      <c r="E34" s="42">
        <v>2684.9057981562351</v>
      </c>
      <c r="F34" s="43">
        <v>5.5377374107767482E-2</v>
      </c>
      <c r="G34" s="44">
        <v>1767</v>
      </c>
    </row>
    <row r="35" spans="1:7" x14ac:dyDescent="0.25">
      <c r="A35" s="40" t="s">
        <v>138</v>
      </c>
      <c r="B35" s="41">
        <v>1735</v>
      </c>
      <c r="C35" s="41">
        <v>2174</v>
      </c>
      <c r="D35" s="42">
        <v>5364442.12</v>
      </c>
      <c r="E35" s="42">
        <v>3091.8974755043228</v>
      </c>
      <c r="F35" s="43">
        <v>3.5600497174405346E-2</v>
      </c>
      <c r="G35" s="44">
        <v>1465</v>
      </c>
    </row>
    <row r="36" spans="1:7" x14ac:dyDescent="0.25">
      <c r="A36" s="40" t="s">
        <v>139</v>
      </c>
      <c r="B36" s="41">
        <v>1391</v>
      </c>
      <c r="C36" s="41">
        <v>1654</v>
      </c>
      <c r="D36" s="42">
        <v>5303721.410000002</v>
      </c>
      <c r="E36" s="42">
        <v>3812.8838317757022</v>
      </c>
      <c r="F36" s="43">
        <v>-0.13560301684734544</v>
      </c>
      <c r="G36" s="44">
        <v>1158</v>
      </c>
    </row>
    <row r="37" spans="1:7" x14ac:dyDescent="0.25">
      <c r="A37" s="40" t="s">
        <v>140</v>
      </c>
      <c r="B37" s="41">
        <v>1413</v>
      </c>
      <c r="C37" s="41">
        <v>1672</v>
      </c>
      <c r="D37" s="42">
        <v>5229979.3600000013</v>
      </c>
      <c r="E37" s="42">
        <v>3701.3300495399867</v>
      </c>
      <c r="F37" s="43">
        <v>-4.0625293239384679E-2</v>
      </c>
      <c r="G37" s="44">
        <v>1138</v>
      </c>
    </row>
    <row r="38" spans="1:7" x14ac:dyDescent="0.25">
      <c r="A38" s="40" t="s">
        <v>141</v>
      </c>
      <c r="B38" s="41">
        <v>1543</v>
      </c>
      <c r="C38" s="41">
        <v>1814</v>
      </c>
      <c r="D38" s="42">
        <v>5192256.83</v>
      </c>
      <c r="E38" s="42">
        <v>3365.0400712896953</v>
      </c>
      <c r="F38" s="43">
        <v>8.0538949434367263E-2</v>
      </c>
      <c r="G38" s="44">
        <v>1274</v>
      </c>
    </row>
    <row r="39" spans="1:7" x14ac:dyDescent="0.25">
      <c r="A39" s="40" t="s">
        <v>142</v>
      </c>
      <c r="B39" s="41">
        <v>2088</v>
      </c>
      <c r="C39" s="41">
        <v>2167</v>
      </c>
      <c r="D39" s="42">
        <v>5166465.42</v>
      </c>
      <c r="E39" s="42">
        <v>2474.3608333333332</v>
      </c>
      <c r="F39" s="43">
        <v>5.8633748901090008E-2</v>
      </c>
      <c r="G39" s="44">
        <v>1770</v>
      </c>
    </row>
    <row r="40" spans="1:7" x14ac:dyDescent="0.25">
      <c r="A40" s="40" t="s">
        <v>143</v>
      </c>
      <c r="B40" s="41">
        <v>2006</v>
      </c>
      <c r="C40" s="41">
        <v>2400</v>
      </c>
      <c r="D40" s="42">
        <v>5063956.24</v>
      </c>
      <c r="E40" s="42">
        <v>2524.4049052841478</v>
      </c>
      <c r="F40" s="43">
        <v>0.20480504917352174</v>
      </c>
      <c r="G40" s="44">
        <v>1637</v>
      </c>
    </row>
    <row r="41" spans="1:7" x14ac:dyDescent="0.25">
      <c r="A41" s="40" t="s">
        <v>144</v>
      </c>
      <c r="B41" s="41">
        <v>1425</v>
      </c>
      <c r="C41" s="41">
        <v>1398</v>
      </c>
      <c r="D41" s="42">
        <v>4814658.8200000012</v>
      </c>
      <c r="E41" s="42">
        <v>3378.7079438596502</v>
      </c>
      <c r="F41" s="43">
        <v>7.3668382082470577E-2</v>
      </c>
      <c r="G41" s="44">
        <v>1228</v>
      </c>
    </row>
    <row r="42" spans="1:7" x14ac:dyDescent="0.25">
      <c r="A42" s="40" t="s">
        <v>145</v>
      </c>
      <c r="B42" s="41">
        <v>1766</v>
      </c>
      <c r="C42" s="41">
        <v>1880</v>
      </c>
      <c r="D42" s="42">
        <v>4661440.959999999</v>
      </c>
      <c r="E42" s="42">
        <v>2639.5475424688557</v>
      </c>
      <c r="F42" s="43">
        <v>0.15551514829214044</v>
      </c>
      <c r="G42" s="44">
        <v>1542</v>
      </c>
    </row>
    <row r="43" spans="1:7" x14ac:dyDescent="0.25">
      <c r="A43" s="40" t="s">
        <v>146</v>
      </c>
      <c r="B43" s="41">
        <v>1611</v>
      </c>
      <c r="C43" s="41">
        <v>1882</v>
      </c>
      <c r="D43" s="42">
        <v>4490106.25</v>
      </c>
      <c r="E43" s="42">
        <v>2787.1547175667288</v>
      </c>
      <c r="F43" s="43">
        <v>0.1061683511010985</v>
      </c>
      <c r="G43" s="44">
        <v>1360</v>
      </c>
    </row>
    <row r="44" spans="1:7" x14ac:dyDescent="0.25">
      <c r="A44" s="40" t="s">
        <v>147</v>
      </c>
      <c r="B44" s="41">
        <v>1606</v>
      </c>
      <c r="C44" s="41">
        <v>1773</v>
      </c>
      <c r="D44" s="42">
        <v>4360285.62</v>
      </c>
      <c r="E44" s="42">
        <v>2714.997272727273</v>
      </c>
      <c r="F44" s="43">
        <v>-0.12735001357587403</v>
      </c>
      <c r="G44" s="44">
        <v>1391</v>
      </c>
    </row>
    <row r="45" spans="1:7" x14ac:dyDescent="0.25">
      <c r="A45" s="40" t="s">
        <v>148</v>
      </c>
      <c r="B45" s="41">
        <v>1139</v>
      </c>
      <c r="C45" s="41">
        <v>1317</v>
      </c>
      <c r="D45" s="42">
        <v>3865333.46</v>
      </c>
      <c r="E45" s="42">
        <v>3393.6202458296752</v>
      </c>
      <c r="F45" s="43">
        <v>-0.10005204707282191</v>
      </c>
      <c r="G45" s="44">
        <v>959</v>
      </c>
    </row>
    <row r="46" spans="1:7" x14ac:dyDescent="0.25">
      <c r="A46" s="40" t="s">
        <v>149</v>
      </c>
      <c r="B46" s="41">
        <v>1394</v>
      </c>
      <c r="C46" s="41">
        <v>1469</v>
      </c>
      <c r="D46" s="42">
        <v>3714876.99</v>
      </c>
      <c r="E46" s="42">
        <v>2664.9045839311334</v>
      </c>
      <c r="F46" s="43">
        <v>-8.8651062633659707E-3</v>
      </c>
      <c r="G46" s="44">
        <v>1240</v>
      </c>
    </row>
    <row r="47" spans="1:7" x14ac:dyDescent="0.25">
      <c r="A47" s="40" t="s">
        <v>150</v>
      </c>
      <c r="B47" s="41">
        <v>1182</v>
      </c>
      <c r="C47" s="41">
        <v>1237</v>
      </c>
      <c r="D47" s="42">
        <v>3446944.1799999997</v>
      </c>
      <c r="E47" s="42">
        <v>2916.1964297800337</v>
      </c>
      <c r="F47" s="43">
        <v>4.7180945716027579E-2</v>
      </c>
      <c r="G47" s="44">
        <v>982</v>
      </c>
    </row>
    <row r="48" spans="1:7" x14ac:dyDescent="0.25">
      <c r="A48" s="40" t="s">
        <v>151</v>
      </c>
      <c r="B48" s="41">
        <v>1186</v>
      </c>
      <c r="C48" s="41">
        <v>2822</v>
      </c>
      <c r="D48" s="42">
        <v>3382882.54</v>
      </c>
      <c r="E48" s="42">
        <v>2852.3461551433388</v>
      </c>
      <c r="F48" s="43">
        <v>1.0471809457160299</v>
      </c>
      <c r="G48" s="44">
        <v>949</v>
      </c>
    </row>
    <row r="49" spans="1:7" x14ac:dyDescent="0.25">
      <c r="A49" s="40" t="s">
        <v>152</v>
      </c>
      <c r="B49" s="41">
        <v>1195</v>
      </c>
      <c r="C49" s="41">
        <v>1913</v>
      </c>
      <c r="D49" s="42">
        <v>3246327.89</v>
      </c>
      <c r="E49" s="42">
        <v>2716.5923765690377</v>
      </c>
      <c r="F49" s="43">
        <v>8.5018896315853187E-2</v>
      </c>
      <c r="G49" s="44">
        <v>1109</v>
      </c>
    </row>
    <row r="50" spans="1:7" x14ac:dyDescent="0.25">
      <c r="A50" s="40" t="s">
        <v>153</v>
      </c>
      <c r="B50" s="41">
        <v>1322</v>
      </c>
      <c r="C50" s="41">
        <v>1823</v>
      </c>
      <c r="D50" s="42">
        <v>3151740.35</v>
      </c>
      <c r="E50" s="42">
        <v>2384.0698562783664</v>
      </c>
      <c r="F50" s="43">
        <v>3.4088686847672862E-2</v>
      </c>
      <c r="G50" s="44">
        <v>1127</v>
      </c>
    </row>
    <row r="51" spans="1:7" x14ac:dyDescent="0.25">
      <c r="A51" s="40" t="s">
        <v>154</v>
      </c>
      <c r="B51" s="41">
        <v>893</v>
      </c>
      <c r="C51" s="41">
        <v>996</v>
      </c>
      <c r="D51" s="42">
        <v>3148563.22</v>
      </c>
      <c r="E51" s="42">
        <v>3525.826674132139</v>
      </c>
      <c r="F51" s="43">
        <v>-8.4855629194548338E-2</v>
      </c>
      <c r="G51" s="44">
        <v>694</v>
      </c>
    </row>
    <row r="52" spans="1:7" x14ac:dyDescent="0.25">
      <c r="A52" s="40" t="s">
        <v>155</v>
      </c>
      <c r="B52" s="41">
        <v>1144</v>
      </c>
      <c r="C52" s="41">
        <v>1268</v>
      </c>
      <c r="D52" s="42">
        <v>3125038.2099999995</v>
      </c>
      <c r="E52" s="42">
        <v>2731.6767569930066</v>
      </c>
      <c r="F52" s="43">
        <v>-1.2229077213433736E-2</v>
      </c>
      <c r="G52" s="44">
        <v>962</v>
      </c>
    </row>
    <row r="53" spans="1:7" x14ac:dyDescent="0.25">
      <c r="A53" s="40" t="s">
        <v>156</v>
      </c>
      <c r="B53" s="41">
        <v>925</v>
      </c>
      <c r="C53" s="41">
        <v>1216</v>
      </c>
      <c r="D53" s="42">
        <v>3080078.36</v>
      </c>
      <c r="E53" s="42">
        <v>3329.8144432432432</v>
      </c>
      <c r="F53" s="43">
        <v>0.98777092278656597</v>
      </c>
      <c r="G53" s="44">
        <v>766</v>
      </c>
    </row>
    <row r="54" spans="1:7" x14ac:dyDescent="0.25">
      <c r="A54" s="40" t="s">
        <v>157</v>
      </c>
      <c r="B54" s="41">
        <v>1179</v>
      </c>
      <c r="C54" s="41">
        <v>1301</v>
      </c>
      <c r="D54" s="42">
        <v>2950217.5800000005</v>
      </c>
      <c r="E54" s="42">
        <v>2502.304987277354</v>
      </c>
      <c r="F54" s="43">
        <v>-0.24307285877887597</v>
      </c>
      <c r="G54" s="44">
        <v>1016</v>
      </c>
    </row>
    <row r="55" spans="1:7" x14ac:dyDescent="0.25">
      <c r="A55" s="40" t="s">
        <v>158</v>
      </c>
      <c r="B55" s="41">
        <v>891</v>
      </c>
      <c r="C55" s="41">
        <v>996</v>
      </c>
      <c r="D55" s="42">
        <v>2594455.38</v>
      </c>
      <c r="E55" s="42">
        <v>2911.8466666666664</v>
      </c>
      <c r="F55" s="43">
        <v>5.7171034731530505E-2</v>
      </c>
      <c r="G55" s="44">
        <v>793</v>
      </c>
    </row>
    <row r="56" spans="1:7" x14ac:dyDescent="0.25">
      <c r="A56" s="40" t="s">
        <v>159</v>
      </c>
      <c r="B56" s="41">
        <v>608</v>
      </c>
      <c r="C56" s="41">
        <v>605</v>
      </c>
      <c r="D56" s="42">
        <v>2503262.870000001</v>
      </c>
      <c r="E56" s="42">
        <v>4117.2086677631596</v>
      </c>
      <c r="F56" s="43">
        <v>-2.0174683793905225E-2</v>
      </c>
      <c r="G56" s="44">
        <v>496</v>
      </c>
    </row>
    <row r="57" spans="1:7" x14ac:dyDescent="0.25">
      <c r="A57" s="40" t="s">
        <v>160</v>
      </c>
      <c r="B57" s="41">
        <v>901</v>
      </c>
      <c r="C57" s="41">
        <v>941</v>
      </c>
      <c r="D57" s="42">
        <v>2277123.34</v>
      </c>
      <c r="E57" s="42">
        <v>2527.3289012208656</v>
      </c>
      <c r="F57" s="43">
        <v>0.12460705894897785</v>
      </c>
      <c r="G57" s="44">
        <v>768</v>
      </c>
    </row>
    <row r="58" spans="1:7" x14ac:dyDescent="0.25">
      <c r="A58" s="40" t="s">
        <v>161</v>
      </c>
      <c r="B58" s="41">
        <v>554</v>
      </c>
      <c r="C58" s="41"/>
      <c r="D58" s="42">
        <v>2043268.7500000005</v>
      </c>
      <c r="E58" s="42">
        <v>3688.210740072203</v>
      </c>
      <c r="F58" s="43">
        <v>1.1246070589489801</v>
      </c>
      <c r="G58" s="44">
        <v>429</v>
      </c>
    </row>
    <row r="59" spans="1:7" x14ac:dyDescent="0.25">
      <c r="A59" s="40" t="s">
        <v>162</v>
      </c>
      <c r="B59" s="41">
        <v>601</v>
      </c>
      <c r="C59" s="41">
        <v>564</v>
      </c>
      <c r="D59" s="42">
        <v>2031590.7000000002</v>
      </c>
      <c r="E59" s="42">
        <v>3380.3505823627293</v>
      </c>
      <c r="F59" s="43">
        <v>-0.17034902732513044</v>
      </c>
      <c r="G59" s="44">
        <v>511</v>
      </c>
    </row>
    <row r="60" spans="1:7" x14ac:dyDescent="0.25">
      <c r="A60" s="40" t="s">
        <v>31</v>
      </c>
      <c r="B60" s="41">
        <v>574</v>
      </c>
      <c r="C60" s="41">
        <v>620</v>
      </c>
      <c r="D60" s="42">
        <v>1751734.1</v>
      </c>
      <c r="E60" s="42">
        <v>3051.801567944251</v>
      </c>
      <c r="F60" s="43">
        <v>-0.11266071806249922</v>
      </c>
      <c r="G60" s="44">
        <v>488</v>
      </c>
    </row>
    <row r="61" spans="1:7" x14ac:dyDescent="0.25">
      <c r="A61" s="40" t="s">
        <v>163</v>
      </c>
      <c r="B61" s="41">
        <v>544</v>
      </c>
      <c r="C61" s="41">
        <v>624</v>
      </c>
      <c r="D61" s="42">
        <v>1665213.1199999996</v>
      </c>
      <c r="E61" s="42">
        <v>3061.053529411764</v>
      </c>
      <c r="F61" s="43">
        <v>0.887339281937501</v>
      </c>
      <c r="G61" s="44">
        <v>448</v>
      </c>
    </row>
    <row r="62" spans="1:7" x14ac:dyDescent="0.25">
      <c r="A62" s="40" t="s">
        <v>164</v>
      </c>
      <c r="B62" s="41">
        <v>546</v>
      </c>
      <c r="C62" s="41">
        <v>582</v>
      </c>
      <c r="D62" s="42">
        <v>1656943.71</v>
      </c>
      <c r="E62" s="42">
        <v>3034.6954395604394</v>
      </c>
      <c r="F62" s="43">
        <v>1.8873392819374999</v>
      </c>
      <c r="G62" s="44">
        <v>446</v>
      </c>
    </row>
    <row r="63" spans="1:7" x14ac:dyDescent="0.25">
      <c r="A63" s="40" t="s">
        <v>165</v>
      </c>
      <c r="B63" s="41">
        <v>619</v>
      </c>
      <c r="C63" s="41">
        <v>659</v>
      </c>
      <c r="D63" s="42">
        <v>1541409.46</v>
      </c>
      <c r="E63" s="42">
        <v>2490.1606785137319</v>
      </c>
      <c r="F63" s="43">
        <v>2.8873392819374999</v>
      </c>
      <c r="G63" s="44">
        <v>547</v>
      </c>
    </row>
    <row r="64" spans="1:7" x14ac:dyDescent="0.25">
      <c r="A64" s="40" t="s">
        <v>166</v>
      </c>
      <c r="B64" s="41">
        <v>573</v>
      </c>
      <c r="C64" s="41">
        <v>643</v>
      </c>
      <c r="D64" s="42">
        <v>1488729.27</v>
      </c>
      <c r="E64" s="42">
        <v>2598.1313612565446</v>
      </c>
      <c r="F64" s="43">
        <v>0.68490345547019127</v>
      </c>
      <c r="G64" s="44">
        <v>535</v>
      </c>
    </row>
    <row r="65" spans="1:7" x14ac:dyDescent="0.25">
      <c r="A65" s="40" t="s">
        <v>167</v>
      </c>
      <c r="B65" s="41">
        <v>345</v>
      </c>
      <c r="C65" s="41">
        <v>349</v>
      </c>
      <c r="D65" s="42">
        <v>943069.09</v>
      </c>
      <c r="E65" s="42">
        <v>2733.5335942028983</v>
      </c>
      <c r="F65" s="43">
        <v>0.64444197883404253</v>
      </c>
      <c r="G65" s="44">
        <v>314</v>
      </c>
    </row>
    <row r="66" spans="1:7" x14ac:dyDescent="0.25">
      <c r="A66" s="40" t="s">
        <v>168</v>
      </c>
      <c r="B66" s="41">
        <v>316</v>
      </c>
      <c r="C66" s="41">
        <v>319</v>
      </c>
      <c r="D66" s="42">
        <v>923457.39</v>
      </c>
      <c r="E66" s="42">
        <v>2922.3335126582278</v>
      </c>
      <c r="F66" s="43">
        <v>1.6444419788340401</v>
      </c>
      <c r="G66" s="44">
        <v>269</v>
      </c>
    </row>
    <row r="67" spans="1:7" x14ac:dyDescent="0.25">
      <c r="A67" s="40" t="s">
        <v>169</v>
      </c>
      <c r="B67" s="41">
        <v>299</v>
      </c>
      <c r="C67" s="41">
        <v>314</v>
      </c>
      <c r="D67" s="42">
        <v>909792.87999999989</v>
      </c>
      <c r="E67" s="42">
        <v>3042.7855518394645</v>
      </c>
      <c r="F67" s="43">
        <v>1.1372236814568462</v>
      </c>
      <c r="G67" s="44">
        <v>257</v>
      </c>
    </row>
    <row r="68" spans="1:7" x14ac:dyDescent="0.25">
      <c r="A68" s="40" t="s">
        <v>170</v>
      </c>
      <c r="B68" s="41">
        <v>275</v>
      </c>
      <c r="C68" s="41">
        <v>314</v>
      </c>
      <c r="D68" s="42">
        <v>887635.13</v>
      </c>
      <c r="E68" s="42">
        <v>3227.7641090909092</v>
      </c>
      <c r="F68" s="43">
        <v>2.240762937421778E-2</v>
      </c>
      <c r="G68" s="44">
        <v>228</v>
      </c>
    </row>
    <row r="69" spans="1:7" x14ac:dyDescent="0.25">
      <c r="A69" s="40" t="s">
        <v>171</v>
      </c>
      <c r="B69" s="41">
        <v>139</v>
      </c>
      <c r="C69" s="41"/>
      <c r="D69" s="42">
        <v>881068</v>
      </c>
      <c r="E69" s="42">
        <v>6338.6187050359713</v>
      </c>
      <c r="F69" s="43">
        <v>1.0224076293742199</v>
      </c>
      <c r="G69" s="44">
        <v>124</v>
      </c>
    </row>
    <row r="70" spans="1:7" x14ac:dyDescent="0.25">
      <c r="A70" s="40" t="s">
        <v>27</v>
      </c>
      <c r="B70" s="41">
        <v>315</v>
      </c>
      <c r="C70" s="41">
        <v>340</v>
      </c>
      <c r="D70" s="42">
        <v>838647.08</v>
      </c>
      <c r="E70" s="42">
        <v>2662.3716825396823</v>
      </c>
      <c r="F70" s="43">
        <v>0.29099824119461054</v>
      </c>
      <c r="G70" s="44">
        <v>281</v>
      </c>
    </row>
    <row r="71" spans="1:7" x14ac:dyDescent="0.25">
      <c r="A71" s="40" t="s">
        <v>172</v>
      </c>
      <c r="B71" s="41">
        <v>219</v>
      </c>
      <c r="C71" s="41">
        <v>201</v>
      </c>
      <c r="D71" s="42">
        <v>800176.08</v>
      </c>
      <c r="E71" s="42">
        <v>3653.7720547945205</v>
      </c>
      <c r="F71" s="43">
        <v>-0.15219687224687026</v>
      </c>
      <c r="G71" s="44">
        <v>176</v>
      </c>
    </row>
    <row r="72" spans="1:7" x14ac:dyDescent="0.25">
      <c r="A72" s="40" t="s">
        <v>173</v>
      </c>
      <c r="B72" s="41">
        <v>126</v>
      </c>
      <c r="C72" s="41">
        <v>293</v>
      </c>
      <c r="D72" s="42">
        <v>553186.47</v>
      </c>
      <c r="E72" s="42">
        <v>4390.3688095238094</v>
      </c>
      <c r="F72" s="43">
        <v>-0.19080664744828638</v>
      </c>
      <c r="G72" s="44">
        <v>97</v>
      </c>
    </row>
    <row r="73" spans="1:7" x14ac:dyDescent="0.25">
      <c r="A73" s="40" t="s">
        <v>174</v>
      </c>
      <c r="B73" s="41">
        <v>167</v>
      </c>
      <c r="C73" s="41">
        <v>207</v>
      </c>
      <c r="D73" s="42">
        <v>533829</v>
      </c>
      <c r="E73" s="42">
        <v>3196.5808383233534</v>
      </c>
      <c r="F73" s="43">
        <v>0.80919335255171398</v>
      </c>
      <c r="G73" s="44">
        <v>145</v>
      </c>
    </row>
    <row r="74" spans="1:7" x14ac:dyDescent="0.25">
      <c r="A74" s="40" t="s">
        <v>175</v>
      </c>
      <c r="B74" s="41">
        <v>185</v>
      </c>
      <c r="C74" s="41">
        <v>194</v>
      </c>
      <c r="D74" s="42">
        <v>462991.09</v>
      </c>
      <c r="E74" s="42">
        <v>2502.6545405405409</v>
      </c>
      <c r="F74" s="43">
        <v>1.8091933525517101</v>
      </c>
      <c r="G74" s="44">
        <v>163</v>
      </c>
    </row>
    <row r="75" spans="1:7" x14ac:dyDescent="0.25">
      <c r="A75" s="40" t="s">
        <v>176</v>
      </c>
      <c r="B75" s="41">
        <v>67</v>
      </c>
      <c r="C75" s="41">
        <v>75</v>
      </c>
      <c r="D75" s="42">
        <v>273281</v>
      </c>
      <c r="E75" s="42">
        <v>4078.8208955223881</v>
      </c>
      <c r="F75" s="43">
        <v>2.8091933525517101</v>
      </c>
      <c r="G75" s="44">
        <v>57</v>
      </c>
    </row>
    <row r="76" spans="1:7" x14ac:dyDescent="0.25">
      <c r="A76" s="40" t="s">
        <v>177</v>
      </c>
      <c r="B76" s="41">
        <v>49</v>
      </c>
      <c r="C76" s="41">
        <v>47</v>
      </c>
      <c r="D76" s="42">
        <v>170440.58000000002</v>
      </c>
      <c r="E76" s="42">
        <v>3478.3791836734699</v>
      </c>
      <c r="F76" s="43">
        <v>3.8091933525517101</v>
      </c>
      <c r="G76" s="44">
        <v>43</v>
      </c>
    </row>
    <row r="77" spans="1:7" x14ac:dyDescent="0.25">
      <c r="A77" s="40" t="s">
        <v>178</v>
      </c>
      <c r="B77" s="41">
        <v>54</v>
      </c>
      <c r="C77" s="41"/>
      <c r="D77" s="42">
        <v>142149</v>
      </c>
      <c r="E77" s="42">
        <v>2632.3888888888887</v>
      </c>
      <c r="F77" s="43">
        <v>4.8091933525517101</v>
      </c>
      <c r="G77" s="44">
        <v>50</v>
      </c>
    </row>
    <row r="78" spans="1:7" x14ac:dyDescent="0.25">
      <c r="A78" s="40" t="s">
        <v>179</v>
      </c>
      <c r="B78" s="41">
        <v>41</v>
      </c>
      <c r="C78" s="41">
        <v>41</v>
      </c>
      <c r="D78" s="42">
        <v>89458</v>
      </c>
      <c r="E78" s="42">
        <v>2181.9024390243903</v>
      </c>
      <c r="F78" s="43">
        <v>5.8091933525517101</v>
      </c>
      <c r="G78" s="44">
        <v>37</v>
      </c>
    </row>
    <row r="79" spans="1:7" x14ac:dyDescent="0.25">
      <c r="A79" s="45" t="s">
        <v>180</v>
      </c>
      <c r="B79" s="46">
        <v>30</v>
      </c>
      <c r="C79" s="46"/>
      <c r="D79" s="47">
        <v>69315</v>
      </c>
      <c r="E79" s="47">
        <v>2310.5</v>
      </c>
      <c r="F79" s="43">
        <v>6.8091933525517101</v>
      </c>
      <c r="G79" s="48">
        <v>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AF99-AED6-4205-A799-7446989CFE38}">
  <dimension ref="A1:D11"/>
  <sheetViews>
    <sheetView zoomScale="60" zoomScaleNormal="60" workbookViewId="0">
      <selection activeCell="D12" sqref="D12"/>
    </sheetView>
  </sheetViews>
  <sheetFormatPr baseColWidth="10" defaultRowHeight="15" x14ac:dyDescent="0.25"/>
  <cols>
    <col min="1" max="1" width="29.5703125" customWidth="1"/>
    <col min="2" max="2" width="16.7109375" customWidth="1"/>
    <col min="3" max="3" width="22.28515625" customWidth="1"/>
    <col min="4" max="4" width="19.7109375" customWidth="1"/>
  </cols>
  <sheetData>
    <row r="1" spans="1:4" x14ac:dyDescent="0.25">
      <c r="A1" s="75" t="s">
        <v>23</v>
      </c>
      <c r="B1" s="76" t="s">
        <v>99</v>
      </c>
      <c r="C1" s="77" t="s">
        <v>101</v>
      </c>
      <c r="D1" s="78" t="s">
        <v>103</v>
      </c>
    </row>
    <row r="2" spans="1:4" x14ac:dyDescent="0.25">
      <c r="A2" s="72" t="s">
        <v>105</v>
      </c>
      <c r="B2" s="70">
        <v>5309</v>
      </c>
      <c r="C2" s="69">
        <v>17179409.199999996</v>
      </c>
      <c r="D2" s="73">
        <v>-3.3191083705420003E-2</v>
      </c>
    </row>
    <row r="3" spans="1:4" x14ac:dyDescent="0.25">
      <c r="A3" s="40" t="s">
        <v>106</v>
      </c>
      <c r="B3" s="71">
        <v>3965</v>
      </c>
      <c r="C3" s="42">
        <v>11674511.219999997</v>
      </c>
      <c r="D3" s="74">
        <v>-1.9021093340733389E-2</v>
      </c>
    </row>
    <row r="4" spans="1:4" x14ac:dyDescent="0.25">
      <c r="A4" s="72" t="s">
        <v>107</v>
      </c>
      <c r="B4" s="70">
        <v>4970</v>
      </c>
      <c r="C4" s="69">
        <v>11562258.639999997</v>
      </c>
      <c r="D4" s="73">
        <v>1.6420256607582062E-2</v>
      </c>
    </row>
    <row r="5" spans="1:4" x14ac:dyDescent="0.25">
      <c r="A5" s="40" t="s">
        <v>108</v>
      </c>
      <c r="B5" s="71">
        <v>3933</v>
      </c>
      <c r="C5" s="42">
        <v>11195172.919999998</v>
      </c>
      <c r="D5" s="74">
        <v>2.1446341174490187E-2</v>
      </c>
    </row>
    <row r="6" spans="1:4" x14ac:dyDescent="0.25">
      <c r="A6" s="72" t="s">
        <v>109</v>
      </c>
      <c r="B6" s="70">
        <v>4564</v>
      </c>
      <c r="C6" s="69">
        <v>11038057.929999998</v>
      </c>
      <c r="D6" s="73">
        <v>-5.3502305984594961E-2</v>
      </c>
    </row>
    <row r="7" spans="1:4" x14ac:dyDescent="0.25">
      <c r="A7" s="40" t="s">
        <v>110</v>
      </c>
      <c r="B7" s="71">
        <v>2939</v>
      </c>
      <c r="C7" s="42">
        <v>10974073.899999999</v>
      </c>
      <c r="D7" s="74">
        <v>-6.0974346030157528E-2</v>
      </c>
    </row>
    <row r="8" spans="1:4" x14ac:dyDescent="0.25">
      <c r="A8" s="72" t="s">
        <v>111</v>
      </c>
      <c r="B8" s="70">
        <v>3366</v>
      </c>
      <c r="C8" s="69">
        <v>10548837.320000004</v>
      </c>
      <c r="D8" s="73">
        <v>-0.14382313758171714</v>
      </c>
    </row>
    <row r="9" spans="1:4" x14ac:dyDescent="0.25">
      <c r="A9" s="40" t="s">
        <v>112</v>
      </c>
      <c r="B9" s="71">
        <v>4518</v>
      </c>
      <c r="C9" s="42">
        <v>10388125.699999996</v>
      </c>
      <c r="D9" s="74">
        <v>-2.6230146370956789E-2</v>
      </c>
    </row>
    <row r="10" spans="1:4" x14ac:dyDescent="0.25">
      <c r="A10" s="72" t="s">
        <v>113</v>
      </c>
      <c r="B10" s="70">
        <v>4219</v>
      </c>
      <c r="C10" s="69">
        <v>10171970.790000001</v>
      </c>
      <c r="D10" s="73">
        <v>-7.7371524100223743E-2</v>
      </c>
    </row>
    <row r="11" spans="1:4" x14ac:dyDescent="0.25">
      <c r="A11" s="40" t="s">
        <v>114</v>
      </c>
      <c r="B11" s="71">
        <v>4112</v>
      </c>
      <c r="C11" s="42">
        <v>10150216.069999998</v>
      </c>
      <c r="D11" s="74">
        <v>-3.7506110289181105E-2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9186-359D-47F4-BEE7-4A0DE8466DAA}">
  <dimension ref="A1:E82"/>
  <sheetViews>
    <sheetView tabSelected="1" workbookViewId="0">
      <selection activeCell="E3" sqref="E3"/>
    </sheetView>
  </sheetViews>
  <sheetFormatPr baseColWidth="10" defaultRowHeight="15" x14ac:dyDescent="0.25"/>
  <cols>
    <col min="1" max="1" width="17.5703125" bestFit="1" customWidth="1"/>
    <col min="2" max="2" width="28.5703125" bestFit="1" customWidth="1"/>
    <col min="3" max="3" width="24.85546875" bestFit="1" customWidth="1"/>
    <col min="4" max="4" width="25.85546875" bestFit="1" customWidth="1"/>
    <col min="5" max="5" width="22.42578125" bestFit="1" customWidth="1"/>
  </cols>
  <sheetData>
    <row r="1" spans="1:5" x14ac:dyDescent="0.25">
      <c r="A1" s="87" t="s">
        <v>23</v>
      </c>
      <c r="B1" t="s">
        <v>239</v>
      </c>
    </row>
    <row r="3" spans="1:5" x14ac:dyDescent="0.25">
      <c r="A3" s="87" t="s">
        <v>234</v>
      </c>
      <c r="B3" t="s">
        <v>236</v>
      </c>
      <c r="C3" t="s">
        <v>240</v>
      </c>
      <c r="D3" t="s">
        <v>237</v>
      </c>
      <c r="E3" t="s">
        <v>238</v>
      </c>
    </row>
    <row r="4" spans="1:5" x14ac:dyDescent="0.25">
      <c r="A4" s="89">
        <v>30</v>
      </c>
      <c r="B4" s="88">
        <v>69315</v>
      </c>
      <c r="C4" s="88">
        <v>2310.5</v>
      </c>
      <c r="D4" s="88">
        <v>6.8091933525517101</v>
      </c>
      <c r="E4" s="88">
        <v>27</v>
      </c>
    </row>
    <row r="5" spans="1:5" x14ac:dyDescent="0.25">
      <c r="A5" s="89">
        <v>41</v>
      </c>
      <c r="B5" s="88">
        <v>89458</v>
      </c>
      <c r="C5" s="88">
        <v>2181.9024390243903</v>
      </c>
      <c r="D5" s="88">
        <v>5.8091933525517101</v>
      </c>
      <c r="E5" s="88">
        <v>37</v>
      </c>
    </row>
    <row r="6" spans="1:5" x14ac:dyDescent="0.25">
      <c r="A6" s="89">
        <v>49</v>
      </c>
      <c r="B6" s="88">
        <v>170440.58000000002</v>
      </c>
      <c r="C6" s="88">
        <v>3478.3791836734699</v>
      </c>
      <c r="D6" s="88">
        <v>3.8091933525517101</v>
      </c>
      <c r="E6" s="88">
        <v>43</v>
      </c>
    </row>
    <row r="7" spans="1:5" x14ac:dyDescent="0.25">
      <c r="A7" s="89">
        <v>54</v>
      </c>
      <c r="B7" s="88">
        <v>142149</v>
      </c>
      <c r="C7" s="88">
        <v>2632.3888888888887</v>
      </c>
      <c r="D7" s="88">
        <v>4.8091933525517101</v>
      </c>
      <c r="E7" s="88">
        <v>50</v>
      </c>
    </row>
    <row r="8" spans="1:5" x14ac:dyDescent="0.25">
      <c r="A8" s="89">
        <v>67</v>
      </c>
      <c r="B8" s="88">
        <v>273281</v>
      </c>
      <c r="C8" s="88">
        <v>4078.8208955223881</v>
      </c>
      <c r="D8" s="88">
        <v>2.8091933525517101</v>
      </c>
      <c r="E8" s="88">
        <v>57</v>
      </c>
    </row>
    <row r="9" spans="1:5" x14ac:dyDescent="0.25">
      <c r="A9" s="89">
        <v>126</v>
      </c>
      <c r="B9" s="88">
        <v>553186.47</v>
      </c>
      <c r="C9" s="88">
        <v>4390.3688095238094</v>
      </c>
      <c r="D9" s="88">
        <v>-0.19080664744828638</v>
      </c>
      <c r="E9" s="88">
        <v>97</v>
      </c>
    </row>
    <row r="10" spans="1:5" x14ac:dyDescent="0.25">
      <c r="A10" s="89">
        <v>139</v>
      </c>
      <c r="B10" s="88">
        <v>881068</v>
      </c>
      <c r="C10" s="88">
        <v>6338.6187050359713</v>
      </c>
      <c r="D10" s="88">
        <v>1.0224076293742199</v>
      </c>
      <c r="E10" s="88">
        <v>124</v>
      </c>
    </row>
    <row r="11" spans="1:5" x14ac:dyDescent="0.25">
      <c r="A11" s="89">
        <v>167</v>
      </c>
      <c r="B11" s="88">
        <v>533829</v>
      </c>
      <c r="C11" s="88">
        <v>3196.5808383233534</v>
      </c>
      <c r="D11" s="88">
        <v>0.80919335255171398</v>
      </c>
      <c r="E11" s="88">
        <v>145</v>
      </c>
    </row>
    <row r="12" spans="1:5" x14ac:dyDescent="0.25">
      <c r="A12" s="89">
        <v>185</v>
      </c>
      <c r="B12" s="88">
        <v>462991.09</v>
      </c>
      <c r="C12" s="88">
        <v>2502.6545405405409</v>
      </c>
      <c r="D12" s="88">
        <v>1.8091933525517101</v>
      </c>
      <c r="E12" s="88">
        <v>163</v>
      </c>
    </row>
    <row r="13" spans="1:5" x14ac:dyDescent="0.25">
      <c r="A13" s="89">
        <v>219</v>
      </c>
      <c r="B13" s="88">
        <v>800176.08</v>
      </c>
      <c r="C13" s="88">
        <v>3653.7720547945205</v>
      </c>
      <c r="D13" s="88">
        <v>-0.15219687224687026</v>
      </c>
      <c r="E13" s="88">
        <v>176</v>
      </c>
    </row>
    <row r="14" spans="1:5" x14ac:dyDescent="0.25">
      <c r="A14" s="89">
        <v>275</v>
      </c>
      <c r="B14" s="88">
        <v>887635.13</v>
      </c>
      <c r="C14" s="88">
        <v>3227.7641090909092</v>
      </c>
      <c r="D14" s="88">
        <v>2.240762937421778E-2</v>
      </c>
      <c r="E14" s="88">
        <v>228</v>
      </c>
    </row>
    <row r="15" spans="1:5" x14ac:dyDescent="0.25">
      <c r="A15" s="89">
        <v>299</v>
      </c>
      <c r="B15" s="88">
        <v>909792.87999999989</v>
      </c>
      <c r="C15" s="88">
        <v>3042.7855518394645</v>
      </c>
      <c r="D15" s="88">
        <v>1.1372236814568462</v>
      </c>
      <c r="E15" s="88">
        <v>257</v>
      </c>
    </row>
    <row r="16" spans="1:5" x14ac:dyDescent="0.25">
      <c r="A16" s="89">
        <v>315</v>
      </c>
      <c r="B16" s="88">
        <v>838647.08</v>
      </c>
      <c r="C16" s="88">
        <v>2662.3716825396823</v>
      </c>
      <c r="D16" s="88">
        <v>0.29099824119461054</v>
      </c>
      <c r="E16" s="88">
        <v>281</v>
      </c>
    </row>
    <row r="17" spans="1:5" x14ac:dyDescent="0.25">
      <c r="A17" s="89">
        <v>316</v>
      </c>
      <c r="B17" s="88">
        <v>923457.39</v>
      </c>
      <c r="C17" s="88">
        <v>2922.3335126582278</v>
      </c>
      <c r="D17" s="88">
        <v>1.6444419788340401</v>
      </c>
      <c r="E17" s="88">
        <v>269</v>
      </c>
    </row>
    <row r="18" spans="1:5" x14ac:dyDescent="0.25">
      <c r="A18" s="89">
        <v>345</v>
      </c>
      <c r="B18" s="88">
        <v>943069.09</v>
      </c>
      <c r="C18" s="88">
        <v>2733.5335942028983</v>
      </c>
      <c r="D18" s="88">
        <v>0.64444197883404253</v>
      </c>
      <c r="E18" s="88">
        <v>314</v>
      </c>
    </row>
    <row r="19" spans="1:5" x14ac:dyDescent="0.25">
      <c r="A19" s="89">
        <v>544</v>
      </c>
      <c r="B19" s="88">
        <v>1665213.1199999996</v>
      </c>
      <c r="C19" s="88">
        <v>3061.053529411764</v>
      </c>
      <c r="D19" s="88">
        <v>0.887339281937501</v>
      </c>
      <c r="E19" s="88">
        <v>448</v>
      </c>
    </row>
    <row r="20" spans="1:5" x14ac:dyDescent="0.25">
      <c r="A20" s="89">
        <v>546</v>
      </c>
      <c r="B20" s="88">
        <v>1656943.71</v>
      </c>
      <c r="C20" s="88">
        <v>3034.6954395604394</v>
      </c>
      <c r="D20" s="88">
        <v>1.8873392819374999</v>
      </c>
      <c r="E20" s="88">
        <v>446</v>
      </c>
    </row>
    <row r="21" spans="1:5" x14ac:dyDescent="0.25">
      <c r="A21" s="89">
        <v>554</v>
      </c>
      <c r="B21" s="88">
        <v>2043268.7500000005</v>
      </c>
      <c r="C21" s="88">
        <v>3688.210740072203</v>
      </c>
      <c r="D21" s="88">
        <v>1.1246070589489801</v>
      </c>
      <c r="E21" s="88">
        <v>429</v>
      </c>
    </row>
    <row r="22" spans="1:5" x14ac:dyDescent="0.25">
      <c r="A22" s="89">
        <v>573</v>
      </c>
      <c r="B22" s="88">
        <v>1488729.27</v>
      </c>
      <c r="C22" s="88">
        <v>2598.1313612565446</v>
      </c>
      <c r="D22" s="88">
        <v>0.68490345547019127</v>
      </c>
      <c r="E22" s="88">
        <v>535</v>
      </c>
    </row>
    <row r="23" spans="1:5" x14ac:dyDescent="0.25">
      <c r="A23" s="89">
        <v>574</v>
      </c>
      <c r="B23" s="88">
        <v>1751734.1</v>
      </c>
      <c r="C23" s="88">
        <v>3051.801567944251</v>
      </c>
      <c r="D23" s="88">
        <v>-0.11266071806249922</v>
      </c>
      <c r="E23" s="88">
        <v>488</v>
      </c>
    </row>
    <row r="24" spans="1:5" x14ac:dyDescent="0.25">
      <c r="A24" s="89">
        <v>601</v>
      </c>
      <c r="B24" s="88">
        <v>2031590.7000000002</v>
      </c>
      <c r="C24" s="88">
        <v>3380.3505823627293</v>
      </c>
      <c r="D24" s="88">
        <v>-0.17034902732513044</v>
      </c>
      <c r="E24" s="88">
        <v>511</v>
      </c>
    </row>
    <row r="25" spans="1:5" x14ac:dyDescent="0.25">
      <c r="A25" s="89">
        <v>608</v>
      </c>
      <c r="B25" s="88">
        <v>2503262.870000001</v>
      </c>
      <c r="C25" s="88">
        <v>4117.2086677631596</v>
      </c>
      <c r="D25" s="88">
        <v>-2.0174683793905225E-2</v>
      </c>
      <c r="E25" s="88">
        <v>496</v>
      </c>
    </row>
    <row r="26" spans="1:5" x14ac:dyDescent="0.25">
      <c r="A26" s="89">
        <v>619</v>
      </c>
      <c r="B26" s="88">
        <v>1541409.46</v>
      </c>
      <c r="C26" s="88">
        <v>2490.1606785137319</v>
      </c>
      <c r="D26" s="88">
        <v>2.8873392819374999</v>
      </c>
      <c r="E26" s="88">
        <v>547</v>
      </c>
    </row>
    <row r="27" spans="1:5" x14ac:dyDescent="0.25">
      <c r="A27" s="89">
        <v>891</v>
      </c>
      <c r="B27" s="88">
        <v>2594455.38</v>
      </c>
      <c r="C27" s="88">
        <v>2911.8466666666664</v>
      </c>
      <c r="D27" s="88">
        <v>5.7171034731530505E-2</v>
      </c>
      <c r="E27" s="88">
        <v>793</v>
      </c>
    </row>
    <row r="28" spans="1:5" x14ac:dyDescent="0.25">
      <c r="A28" s="89">
        <v>893</v>
      </c>
      <c r="B28" s="88">
        <v>3148563.22</v>
      </c>
      <c r="C28" s="88">
        <v>3525.826674132139</v>
      </c>
      <c r="D28" s="88">
        <v>-8.4855629194548338E-2</v>
      </c>
      <c r="E28" s="88">
        <v>694</v>
      </c>
    </row>
    <row r="29" spans="1:5" x14ac:dyDescent="0.25">
      <c r="A29" s="89">
        <v>901</v>
      </c>
      <c r="B29" s="88">
        <v>2277123.34</v>
      </c>
      <c r="C29" s="88">
        <v>2527.3289012208656</v>
      </c>
      <c r="D29" s="88">
        <v>0.12460705894897785</v>
      </c>
      <c r="E29" s="88">
        <v>768</v>
      </c>
    </row>
    <row r="30" spans="1:5" x14ac:dyDescent="0.25">
      <c r="A30" s="89">
        <v>925</v>
      </c>
      <c r="B30" s="88">
        <v>3080078.36</v>
      </c>
      <c r="C30" s="88">
        <v>3329.8144432432432</v>
      </c>
      <c r="D30" s="88">
        <v>0.98777092278656597</v>
      </c>
      <c r="E30" s="88">
        <v>766</v>
      </c>
    </row>
    <row r="31" spans="1:5" x14ac:dyDescent="0.25">
      <c r="A31" s="89">
        <v>1139</v>
      </c>
      <c r="B31" s="88">
        <v>3865333.46</v>
      </c>
      <c r="C31" s="88">
        <v>3393.6202458296752</v>
      </c>
      <c r="D31" s="88">
        <v>-0.10005204707282191</v>
      </c>
      <c r="E31" s="88">
        <v>959</v>
      </c>
    </row>
    <row r="32" spans="1:5" x14ac:dyDescent="0.25">
      <c r="A32" s="89">
        <v>1144</v>
      </c>
      <c r="B32" s="88">
        <v>3125038.2099999995</v>
      </c>
      <c r="C32" s="88">
        <v>2731.6767569930066</v>
      </c>
      <c r="D32" s="88">
        <v>-1.2229077213433736E-2</v>
      </c>
      <c r="E32" s="88">
        <v>962</v>
      </c>
    </row>
    <row r="33" spans="1:5" x14ac:dyDescent="0.25">
      <c r="A33" s="89">
        <v>1179</v>
      </c>
      <c r="B33" s="88">
        <v>2950217.5800000005</v>
      </c>
      <c r="C33" s="88">
        <v>2502.304987277354</v>
      </c>
      <c r="D33" s="88">
        <v>-0.24307285877887597</v>
      </c>
      <c r="E33" s="88">
        <v>1016</v>
      </c>
    </row>
    <row r="34" spans="1:5" x14ac:dyDescent="0.25">
      <c r="A34" s="89">
        <v>1182</v>
      </c>
      <c r="B34" s="88">
        <v>3446944.1799999997</v>
      </c>
      <c r="C34" s="88">
        <v>2916.1964297800337</v>
      </c>
      <c r="D34" s="88">
        <v>4.7180945716027579E-2</v>
      </c>
      <c r="E34" s="88">
        <v>982</v>
      </c>
    </row>
    <row r="35" spans="1:5" x14ac:dyDescent="0.25">
      <c r="A35" s="89">
        <v>1186</v>
      </c>
      <c r="B35" s="88">
        <v>3382882.54</v>
      </c>
      <c r="C35" s="88">
        <v>2852.3461551433388</v>
      </c>
      <c r="D35" s="88">
        <v>1.0471809457160299</v>
      </c>
      <c r="E35" s="88">
        <v>949</v>
      </c>
    </row>
    <row r="36" spans="1:5" x14ac:dyDescent="0.25">
      <c r="A36" s="89">
        <v>1195</v>
      </c>
      <c r="B36" s="88">
        <v>3246327.89</v>
      </c>
      <c r="C36" s="88">
        <v>2716.5923765690377</v>
      </c>
      <c r="D36" s="88">
        <v>8.5018896315853187E-2</v>
      </c>
      <c r="E36" s="88">
        <v>1109</v>
      </c>
    </row>
    <row r="37" spans="1:5" x14ac:dyDescent="0.25">
      <c r="A37" s="89">
        <v>1322</v>
      </c>
      <c r="B37" s="88">
        <v>3151740.35</v>
      </c>
      <c r="C37" s="88">
        <v>2384.0698562783664</v>
      </c>
      <c r="D37" s="88">
        <v>3.4088686847672862E-2</v>
      </c>
      <c r="E37" s="88">
        <v>1127</v>
      </c>
    </row>
    <row r="38" spans="1:5" x14ac:dyDescent="0.25">
      <c r="A38" s="89">
        <v>1391</v>
      </c>
      <c r="B38" s="88">
        <v>5303721.410000002</v>
      </c>
      <c r="C38" s="88">
        <v>3812.8838317757022</v>
      </c>
      <c r="D38" s="88">
        <v>-0.13560301684734544</v>
      </c>
      <c r="E38" s="88">
        <v>1158</v>
      </c>
    </row>
    <row r="39" spans="1:5" x14ac:dyDescent="0.25">
      <c r="A39" s="89">
        <v>1394</v>
      </c>
      <c r="B39" s="88">
        <v>3714876.99</v>
      </c>
      <c r="C39" s="88">
        <v>2664.9045839311334</v>
      </c>
      <c r="D39" s="88">
        <v>-8.8651062633659707E-3</v>
      </c>
      <c r="E39" s="88">
        <v>1240</v>
      </c>
    </row>
    <row r="40" spans="1:5" x14ac:dyDescent="0.25">
      <c r="A40" s="89">
        <v>1413</v>
      </c>
      <c r="B40" s="88">
        <v>5229979.3600000013</v>
      </c>
      <c r="C40" s="88">
        <v>3701.3300495399867</v>
      </c>
      <c r="D40" s="88">
        <v>-4.0625293239384679E-2</v>
      </c>
      <c r="E40" s="88">
        <v>1138</v>
      </c>
    </row>
    <row r="41" spans="1:5" x14ac:dyDescent="0.25">
      <c r="A41" s="89">
        <v>1425</v>
      </c>
      <c r="B41" s="88">
        <v>4814658.8200000012</v>
      </c>
      <c r="C41" s="88">
        <v>3378.7079438596502</v>
      </c>
      <c r="D41" s="88">
        <v>7.3668382082470577E-2</v>
      </c>
      <c r="E41" s="88">
        <v>1228</v>
      </c>
    </row>
    <row r="42" spans="1:5" x14ac:dyDescent="0.25">
      <c r="A42" s="89">
        <v>1543</v>
      </c>
      <c r="B42" s="88">
        <v>5192256.83</v>
      </c>
      <c r="C42" s="88">
        <v>3365.0400712896953</v>
      </c>
      <c r="D42" s="88">
        <v>8.0538949434367263E-2</v>
      </c>
      <c r="E42" s="88">
        <v>1274</v>
      </c>
    </row>
    <row r="43" spans="1:5" x14ac:dyDescent="0.25">
      <c r="A43" s="89">
        <v>1606</v>
      </c>
      <c r="B43" s="88">
        <v>4360285.62</v>
      </c>
      <c r="C43" s="88">
        <v>2714.997272727273</v>
      </c>
      <c r="D43" s="88">
        <v>-0.12735001357587403</v>
      </c>
      <c r="E43" s="88">
        <v>1391</v>
      </c>
    </row>
    <row r="44" spans="1:5" x14ac:dyDescent="0.25">
      <c r="A44" s="89">
        <v>1611</v>
      </c>
      <c r="B44" s="88">
        <v>4490106.25</v>
      </c>
      <c r="C44" s="88">
        <v>2787.1547175667288</v>
      </c>
      <c r="D44" s="88">
        <v>0.1061683511010985</v>
      </c>
      <c r="E44" s="88">
        <v>1360</v>
      </c>
    </row>
    <row r="45" spans="1:5" x14ac:dyDescent="0.25">
      <c r="A45" s="89">
        <v>1733</v>
      </c>
      <c r="B45" s="88">
        <v>5909821.9000000013</v>
      </c>
      <c r="C45" s="88">
        <v>3410.1684362377387</v>
      </c>
      <c r="D45" s="88">
        <v>0.15764202812510703</v>
      </c>
      <c r="E45" s="88">
        <v>1526</v>
      </c>
    </row>
    <row r="46" spans="1:5" x14ac:dyDescent="0.25">
      <c r="A46" s="89">
        <v>1735</v>
      </c>
      <c r="B46" s="88">
        <v>5364442.12</v>
      </c>
      <c r="C46" s="88">
        <v>3091.8974755043228</v>
      </c>
      <c r="D46" s="88">
        <v>3.5600497174405346E-2</v>
      </c>
      <c r="E46" s="88">
        <v>1465</v>
      </c>
    </row>
    <row r="47" spans="1:5" x14ac:dyDescent="0.25">
      <c r="A47" s="89">
        <v>1766</v>
      </c>
      <c r="B47" s="88">
        <v>4661440.959999999</v>
      </c>
      <c r="C47" s="88">
        <v>2639.5475424688557</v>
      </c>
      <c r="D47" s="88">
        <v>0.15551514829214044</v>
      </c>
      <c r="E47" s="88">
        <v>1542</v>
      </c>
    </row>
    <row r="48" spans="1:5" x14ac:dyDescent="0.25">
      <c r="A48" s="89">
        <v>1895</v>
      </c>
      <c r="B48" s="88">
        <v>5933303.4300000016</v>
      </c>
      <c r="C48" s="88">
        <v>3131.030833773088</v>
      </c>
      <c r="D48" s="88">
        <v>-5.0676744842156785E-2</v>
      </c>
      <c r="E48" s="88">
        <v>1589</v>
      </c>
    </row>
    <row r="49" spans="1:5" x14ac:dyDescent="0.25">
      <c r="A49" s="89">
        <v>2006</v>
      </c>
      <c r="B49" s="88">
        <v>5063956.24</v>
      </c>
      <c r="C49" s="88">
        <v>2524.4049052841478</v>
      </c>
      <c r="D49" s="88">
        <v>0.20480504917352174</v>
      </c>
      <c r="E49" s="88">
        <v>1637</v>
      </c>
    </row>
    <row r="50" spans="1:5" x14ac:dyDescent="0.25">
      <c r="A50" s="89">
        <v>2061</v>
      </c>
      <c r="B50" s="88">
        <v>5533590.8500000006</v>
      </c>
      <c r="C50" s="88">
        <v>2684.9057981562351</v>
      </c>
      <c r="D50" s="88">
        <v>5.5377374107767482E-2</v>
      </c>
      <c r="E50" s="88">
        <v>1767</v>
      </c>
    </row>
    <row r="51" spans="1:5" x14ac:dyDescent="0.25">
      <c r="A51" s="89">
        <v>2088</v>
      </c>
      <c r="B51" s="88">
        <v>5166465.42</v>
      </c>
      <c r="C51" s="88">
        <v>2474.3608333333332</v>
      </c>
      <c r="D51" s="88">
        <v>5.8633748901090008E-2</v>
      </c>
      <c r="E51" s="88">
        <v>1770</v>
      </c>
    </row>
    <row r="52" spans="1:5" x14ac:dyDescent="0.25">
      <c r="A52" s="89">
        <v>2106</v>
      </c>
      <c r="B52" s="88">
        <v>7804771.4800000014</v>
      </c>
      <c r="C52" s="88">
        <v>3705.9693637226978</v>
      </c>
      <c r="D52" s="88">
        <v>1.7301070573787797E-2</v>
      </c>
      <c r="E52" s="88">
        <v>1711</v>
      </c>
    </row>
    <row r="53" spans="1:5" x14ac:dyDescent="0.25">
      <c r="A53" s="89">
        <v>2159</v>
      </c>
      <c r="B53" s="88">
        <v>6479929.1400000006</v>
      </c>
      <c r="C53" s="88">
        <v>3001.3567114404818</v>
      </c>
      <c r="D53" s="88">
        <v>-0.21445381533019045</v>
      </c>
      <c r="E53" s="88">
        <v>1743</v>
      </c>
    </row>
    <row r="54" spans="1:5" x14ac:dyDescent="0.25">
      <c r="A54" s="89">
        <v>2285</v>
      </c>
      <c r="B54" s="88">
        <v>8997092.2199999988</v>
      </c>
      <c r="C54" s="88">
        <v>3937.458301969365</v>
      </c>
      <c r="D54" s="88">
        <v>-5.6226065595166956E-2</v>
      </c>
      <c r="E54" s="88">
        <v>1837</v>
      </c>
    </row>
    <row r="55" spans="1:5" x14ac:dyDescent="0.25">
      <c r="A55" s="89">
        <v>2311</v>
      </c>
      <c r="B55" s="88">
        <v>6686228.7000000002</v>
      </c>
      <c r="C55" s="88">
        <v>2893.2188230203378</v>
      </c>
      <c r="D55" s="88">
        <v>-4.0592328722904976E-2</v>
      </c>
      <c r="E55" s="88">
        <v>1978</v>
      </c>
    </row>
    <row r="56" spans="1:5" x14ac:dyDescent="0.25">
      <c r="A56" s="89">
        <v>2430</v>
      </c>
      <c r="B56" s="88">
        <v>6054991.3800000008</v>
      </c>
      <c r="C56" s="88">
        <v>2491.7660000000005</v>
      </c>
      <c r="D56" s="88">
        <v>1.6532922693891203E-2</v>
      </c>
      <c r="E56" s="88">
        <v>2141</v>
      </c>
    </row>
    <row r="57" spans="1:5" x14ac:dyDescent="0.25">
      <c r="A57" s="89">
        <v>2452</v>
      </c>
      <c r="B57" s="88">
        <v>7069350.3800000018</v>
      </c>
      <c r="C57" s="88">
        <v>2883.095587275694</v>
      </c>
      <c r="D57" s="88">
        <v>0.13030448744648127</v>
      </c>
      <c r="E57" s="88">
        <v>2144</v>
      </c>
    </row>
    <row r="58" spans="1:5" x14ac:dyDescent="0.25">
      <c r="A58" s="89">
        <v>2502</v>
      </c>
      <c r="B58" s="88">
        <v>6572507.4200000009</v>
      </c>
      <c r="C58" s="88">
        <v>2626.9014468425262</v>
      </c>
      <c r="D58" s="88">
        <v>1.3518691813245812E-2</v>
      </c>
      <c r="E58" s="88">
        <v>1972</v>
      </c>
    </row>
    <row r="59" spans="1:5" x14ac:dyDescent="0.25">
      <c r="A59" s="89">
        <v>2608</v>
      </c>
      <c r="B59" s="88">
        <v>8827337.1300000008</v>
      </c>
      <c r="C59" s="88">
        <v>3384.7151572085891</v>
      </c>
      <c r="D59" s="88">
        <v>-8.4013872140642515E-2</v>
      </c>
      <c r="E59" s="88">
        <v>2104</v>
      </c>
    </row>
    <row r="60" spans="1:5" x14ac:dyDescent="0.25">
      <c r="A60" s="89">
        <v>2647</v>
      </c>
      <c r="B60" s="88">
        <v>7447054.5900000017</v>
      </c>
      <c r="C60" s="88">
        <v>2813.394253872309</v>
      </c>
      <c r="D60" s="88">
        <v>7.0407949421081639E-2</v>
      </c>
      <c r="E60" s="88">
        <v>2185</v>
      </c>
    </row>
    <row r="61" spans="1:5" x14ac:dyDescent="0.25">
      <c r="A61" s="89">
        <v>2721</v>
      </c>
      <c r="B61" s="88">
        <v>7186207.4100000001</v>
      </c>
      <c r="C61" s="88">
        <v>2641.0170562293274</v>
      </c>
      <c r="D61" s="88">
        <v>0.12791198678079532</v>
      </c>
      <c r="E61" s="88">
        <v>2407</v>
      </c>
    </row>
    <row r="62" spans="1:5" x14ac:dyDescent="0.25">
      <c r="A62" s="89">
        <v>2736</v>
      </c>
      <c r="B62" s="88">
        <v>9419453.8713019993</v>
      </c>
      <c r="C62" s="88">
        <v>3442.782847698099</v>
      </c>
      <c r="D62" s="88">
        <v>-0.27763154369374882</v>
      </c>
      <c r="E62" s="88">
        <v>2397</v>
      </c>
    </row>
    <row r="63" spans="1:5" x14ac:dyDescent="0.25">
      <c r="A63" s="89">
        <v>2939</v>
      </c>
      <c r="B63" s="88">
        <v>10974073.899999999</v>
      </c>
      <c r="C63" s="88">
        <v>3733.9482477032998</v>
      </c>
      <c r="D63" s="88">
        <v>-6.0974346030157528E-2</v>
      </c>
      <c r="E63" s="88">
        <v>2435</v>
      </c>
    </row>
    <row r="64" spans="1:5" x14ac:dyDescent="0.25">
      <c r="A64" s="89">
        <v>3019</v>
      </c>
      <c r="B64" s="88">
        <v>6957268.5000000009</v>
      </c>
      <c r="C64" s="88">
        <v>2304.4943689963566</v>
      </c>
      <c r="D64" s="88">
        <v>-3.8712376260730368E-2</v>
      </c>
      <c r="E64" s="88">
        <v>2567</v>
      </c>
    </row>
    <row r="65" spans="1:5" x14ac:dyDescent="0.25">
      <c r="A65" s="89">
        <v>3046</v>
      </c>
      <c r="B65" s="88">
        <v>6918480.0000000009</v>
      </c>
      <c r="C65" s="88">
        <v>2271.3328956007881</v>
      </c>
      <c r="D65" s="88">
        <v>0.12104053232367665</v>
      </c>
      <c r="E65" s="88">
        <v>2622</v>
      </c>
    </row>
    <row r="66" spans="1:5" x14ac:dyDescent="0.25">
      <c r="A66" s="89">
        <v>3062</v>
      </c>
      <c r="B66" s="88">
        <v>8004287.3500000006</v>
      </c>
      <c r="C66" s="88">
        <v>2614.0716361854998</v>
      </c>
      <c r="D66" s="88">
        <v>3.161447702425213E-2</v>
      </c>
      <c r="E66" s="88">
        <v>2578</v>
      </c>
    </row>
    <row r="67" spans="1:5" x14ac:dyDescent="0.25">
      <c r="A67" s="89">
        <v>3072</v>
      </c>
      <c r="B67" s="88">
        <v>7119328.9899999993</v>
      </c>
      <c r="C67" s="88">
        <v>2317.4899055989581</v>
      </c>
      <c r="D67" s="88">
        <v>4.0302511632780189E-2</v>
      </c>
      <c r="E67" s="88">
        <v>2734</v>
      </c>
    </row>
    <row r="68" spans="1:5" x14ac:dyDescent="0.25">
      <c r="A68" s="89">
        <v>3218</v>
      </c>
      <c r="B68" s="88">
        <v>8651958.910000002</v>
      </c>
      <c r="C68" s="88">
        <v>2688.6137072715978</v>
      </c>
      <c r="D68" s="88">
        <v>-2.8214939548789123E-2</v>
      </c>
      <c r="E68" s="88">
        <v>2639</v>
      </c>
    </row>
    <row r="69" spans="1:5" x14ac:dyDescent="0.25">
      <c r="A69" s="89">
        <v>3231</v>
      </c>
      <c r="B69" s="88">
        <v>8215997.2899999991</v>
      </c>
      <c r="C69" s="88">
        <v>2542.8651470133082</v>
      </c>
      <c r="D69" s="88">
        <v>2.8621391792049984E-2</v>
      </c>
      <c r="E69" s="88">
        <v>2814</v>
      </c>
    </row>
    <row r="70" spans="1:5" x14ac:dyDescent="0.25">
      <c r="A70" s="89">
        <v>3236</v>
      </c>
      <c r="B70" s="88">
        <v>8702787.7199999969</v>
      </c>
      <c r="C70" s="88">
        <v>2689.3657972805922</v>
      </c>
      <c r="D70" s="88">
        <v>0.1441383774562274</v>
      </c>
      <c r="E70" s="88">
        <v>2694</v>
      </c>
    </row>
    <row r="71" spans="1:5" x14ac:dyDescent="0.25">
      <c r="A71" s="89">
        <v>3366</v>
      </c>
      <c r="B71" s="88">
        <v>10548837.320000004</v>
      </c>
      <c r="C71" s="88">
        <v>3133.9385977421284</v>
      </c>
      <c r="D71" s="88">
        <v>-0.14382313758171714</v>
      </c>
      <c r="E71" s="88">
        <v>2759</v>
      </c>
    </row>
    <row r="72" spans="1:5" x14ac:dyDescent="0.25">
      <c r="A72" s="89">
        <v>3563</v>
      </c>
      <c r="B72" s="88">
        <v>7835949.8000000007</v>
      </c>
      <c r="C72" s="88">
        <v>2199.2561886051085</v>
      </c>
      <c r="D72" s="88">
        <v>0.11771188313216881</v>
      </c>
      <c r="E72" s="88">
        <v>3068</v>
      </c>
    </row>
    <row r="73" spans="1:5" x14ac:dyDescent="0.25">
      <c r="A73" s="89">
        <v>3932</v>
      </c>
      <c r="B73" s="88">
        <v>8684957.0999999996</v>
      </c>
      <c r="C73" s="88">
        <v>2208.7886826042727</v>
      </c>
      <c r="D73" s="88">
        <v>-1.1195654267682518E-2</v>
      </c>
      <c r="E73" s="88">
        <v>3394</v>
      </c>
    </row>
    <row r="74" spans="1:5" x14ac:dyDescent="0.25">
      <c r="A74" s="89">
        <v>3933</v>
      </c>
      <c r="B74" s="88">
        <v>11195172.919999998</v>
      </c>
      <c r="C74" s="88">
        <v>2846.4716297991349</v>
      </c>
      <c r="D74" s="88">
        <v>2.1446341174490187E-2</v>
      </c>
      <c r="E74" s="88">
        <v>3286</v>
      </c>
    </row>
    <row r="75" spans="1:5" x14ac:dyDescent="0.25">
      <c r="A75" s="89">
        <v>3965</v>
      </c>
      <c r="B75" s="88">
        <v>11674511.219999997</v>
      </c>
      <c r="C75" s="88">
        <v>2944.391228247162</v>
      </c>
      <c r="D75" s="88">
        <v>-1.9021093340733389E-2</v>
      </c>
      <c r="E75" s="88">
        <v>3391</v>
      </c>
    </row>
    <row r="76" spans="1:5" x14ac:dyDescent="0.25">
      <c r="A76" s="89">
        <v>4112</v>
      </c>
      <c r="B76" s="88">
        <v>10150216.069999998</v>
      </c>
      <c r="C76" s="88">
        <v>2468.4377602140075</v>
      </c>
      <c r="D76" s="88">
        <v>-3.7506110289181105E-2</v>
      </c>
      <c r="E76" s="88">
        <v>3533</v>
      </c>
    </row>
    <row r="77" spans="1:5" x14ac:dyDescent="0.25">
      <c r="A77" s="89">
        <v>4219</v>
      </c>
      <c r="B77" s="88">
        <v>10171970.790000001</v>
      </c>
      <c r="C77" s="88">
        <v>2410.9909433515054</v>
      </c>
      <c r="D77" s="88">
        <v>-7.7371524100223743E-2</v>
      </c>
      <c r="E77" s="88">
        <v>3655</v>
      </c>
    </row>
    <row r="78" spans="1:5" x14ac:dyDescent="0.25">
      <c r="A78" s="89">
        <v>4518</v>
      </c>
      <c r="B78" s="88">
        <v>10388125.699999996</v>
      </c>
      <c r="C78" s="88">
        <v>2299.2752766710923</v>
      </c>
      <c r="D78" s="88">
        <v>-2.6230146370956789E-2</v>
      </c>
      <c r="E78" s="88">
        <v>3756</v>
      </c>
    </row>
    <row r="79" spans="1:5" x14ac:dyDescent="0.25">
      <c r="A79" s="89">
        <v>4564</v>
      </c>
      <c r="B79" s="88">
        <v>11038057.929999998</v>
      </c>
      <c r="C79" s="88">
        <v>2418.5052432077123</v>
      </c>
      <c r="D79" s="88">
        <v>-5.3502305984594961E-2</v>
      </c>
      <c r="E79" s="88">
        <v>3943</v>
      </c>
    </row>
    <row r="80" spans="1:5" x14ac:dyDescent="0.25">
      <c r="A80" s="89">
        <v>4970</v>
      </c>
      <c r="B80" s="88">
        <v>11562258.639999997</v>
      </c>
      <c r="C80" s="88">
        <v>2326.4101891348082</v>
      </c>
      <c r="D80" s="88">
        <v>1.6420256607582062E-2</v>
      </c>
      <c r="E80" s="88">
        <v>4171</v>
      </c>
    </row>
    <row r="81" spans="1:5" x14ac:dyDescent="0.25">
      <c r="A81" s="89">
        <v>5309</v>
      </c>
      <c r="B81" s="88">
        <v>17179409.199999996</v>
      </c>
      <c r="C81" s="88">
        <v>3235.9030325861736</v>
      </c>
      <c r="D81" s="88">
        <v>-3.3191083705420003E-2</v>
      </c>
      <c r="E81" s="88">
        <v>4512</v>
      </c>
    </row>
    <row r="82" spans="1:5" x14ac:dyDescent="0.25">
      <c r="A82" s="89" t="s">
        <v>235</v>
      </c>
      <c r="B82" s="88">
        <v>396686831.55130196</v>
      </c>
      <c r="C82" s="88">
        <v>232423.57118821781</v>
      </c>
      <c r="D82" s="88">
        <v>40.453865787621424</v>
      </c>
      <c r="E82" s="88">
        <v>119548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6EF20D017628408D58BECC63EB1CB8" ma:contentTypeVersion="10" ma:contentTypeDescription="Crear nuevo documento." ma:contentTypeScope="" ma:versionID="37d0da551c3fc5b2a3e0372ed0e5ca07">
  <xsd:schema xmlns:xsd="http://www.w3.org/2001/XMLSchema" xmlns:xs="http://www.w3.org/2001/XMLSchema" xmlns:p="http://schemas.microsoft.com/office/2006/metadata/properties" xmlns:ns3="de48d912-c757-4901-8248-f2215c9f1c8a" targetNamespace="http://schemas.microsoft.com/office/2006/metadata/properties" ma:root="true" ma:fieldsID="5c559fa1700825d39e416e0147c3a992" ns3:_="">
    <xsd:import namespace="de48d912-c757-4901-8248-f2215c9f1c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8d912-c757-4901-8248-f2215c9f1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CC4238-E268-4497-87E8-096E9BD6B6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8d912-c757-4901-8248-f2215c9f1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6F1F45-B6C7-4FA3-B658-D608C741F71F}">
  <ds:schemaRefs>
    <ds:schemaRef ds:uri="de48d912-c757-4901-8248-f2215c9f1c8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7BBDEA-D43C-4D0D-B2B2-5010C1AE6B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Centro Contacto</vt:lpstr>
      <vt:lpstr>Dashboard_CentroContacto</vt:lpstr>
      <vt:lpstr>Metricas_Centrocontacto</vt:lpstr>
      <vt:lpstr>Sucursales</vt:lpstr>
      <vt:lpstr>Resumen_Sucursales</vt:lpstr>
      <vt:lpstr>Top10_Sucursales</vt:lpstr>
      <vt:lpstr>Facturaciones</vt:lpstr>
      <vt:lpstr>Top_Facturación</vt:lpstr>
      <vt:lpstr>Facturacion Tbl Dinaminca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minerd</dc:creator>
  <cp:lastModifiedBy>minerd</cp:lastModifiedBy>
  <dcterms:created xsi:type="dcterms:W3CDTF">2025-10-19T00:35:14Z</dcterms:created>
  <dcterms:modified xsi:type="dcterms:W3CDTF">2025-10-22T05:19:40Z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0x010100F56EF20D017628408D58BECC63EB1CB8</vt:lpwstr>
  </property>
</Properties>
</file>